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2" visibility="visible" windowHeight="8250" windowWidth="19200" xWindow="0" yWindow="0"/>
  </bookViews>
  <sheets>
    <sheet xmlns:r="http://schemas.openxmlformats.org/officeDocument/2006/relationships" name="Data" sheetId="1" state="visible" r:id="rId1"/>
  </sheets>
  <definedNames>
    <definedName name="Apr">Data!$H$949:$H$978</definedName>
    <definedName name="Aug">Data!$H$1071:$H$1101</definedName>
    <definedName name="Dec">Data!$H$828:$H$858</definedName>
    <definedName name="Feb">Data!$H$890:$H$917</definedName>
    <definedName name="Jan">Data!$H$859:$H$889</definedName>
    <definedName name="July">Data!$H$1040:$H$1070</definedName>
    <definedName name="June">Data!$H$1010:$H$1039</definedName>
    <definedName name="Mar">Data!$H$918:$H$948</definedName>
    <definedName name="May">Data!$H$979:$H$1009</definedName>
    <definedName name="Nov">Data!$H$798:$H$827</definedName>
    <definedName name="Oct">Data!$H$767:$H$797</definedName>
    <definedName name="Sept">Data!$H$737:$H$766</definedName>
  </definedNames>
  <calcPr calcId="191029" fullCalcOnLoad="1"/>
</workbook>
</file>

<file path=xl/sharedStrings.xml><?xml version="1.0" encoding="utf-8"?>
<sst xmlns="http://schemas.openxmlformats.org/spreadsheetml/2006/main" uniqueCount="15">
  <si>
    <t>BANCO DE LA REPUBLICA 
DE COLOMBIA</t>
  </si>
  <si>
    <t>Today</t>
  </si>
  <si>
    <t>Monthly Avg</t>
  </si>
  <si>
    <t>Budget FY19</t>
  </si>
  <si>
    <t>Variance</t>
  </si>
  <si>
    <t>Vs Budget</t>
  </si>
  <si>
    <t>FY18</t>
  </si>
  <si>
    <t>FY19</t>
  </si>
  <si>
    <t>http://www.banrep.gov.co/es/tasa-cambio-del-peso-colombiano-trm</t>
  </si>
  <si>
    <t>FY17</t>
  </si>
  <si>
    <t>Diff FY18 vs FY19</t>
  </si>
  <si>
    <t>Date</t>
  </si>
  <si>
    <t>Average</t>
  </si>
  <si>
    <t>Variance +/-</t>
  </si>
  <si>
    <t>Variance %</t>
  </si>
</sst>
</file>

<file path=xl/styles.xml><?xml version="1.0" encoding="utf-8"?>
<styleSheet xmlns="http://schemas.openxmlformats.org/spreadsheetml/2006/main">
  <numFmts count="21">
    <numFmt formatCode="&quot;$&quot;\ #,##0.00_);[Red]\(&quot;$&quot;\ #,##0.00\)" numFmtId="164"/>
    <numFmt formatCode="0.00%\ &quot;June avg FX&quot;" numFmtId="165"/>
    <numFmt formatCode="&quot;$&quot;\ #,##0.00;[Red]\-&quot;$&quot;\ #,##0.00" numFmtId="166"/>
    <numFmt formatCode="&quot;$&quot;\ #,##0_);[Red]\(&quot;$&quot;\ #,##0\)" numFmtId="167"/>
    <numFmt formatCode="_(&quot;$&quot;* #,##0_);_(&quot;$&quot;* \(#,##0\);_(&quot;$&quot;* &quot;-&quot;??_);_(@_)" numFmtId="168"/>
    <numFmt formatCode="0.00%\ &quot;Oct MTD FX&quot;" numFmtId="169"/>
    <numFmt formatCode="0.00%\ &quot;Sept MTD FX&quot;" numFmtId="170"/>
    <numFmt formatCode="0.00%\ &quot;Nov MTD FX&quot;" numFmtId="171"/>
    <numFmt formatCode="0.00%\ &quot;Dec MTD FX&quot;" numFmtId="172"/>
    <numFmt formatCode="0.00%\ &quot;Jan avg FX&quot;" numFmtId="173"/>
    <numFmt formatCode="0.00%\ &quot;Dec avg FX&quot;" numFmtId="174"/>
    <numFmt formatCode="0.00%\ &quot;Mar avg FX&quot;" numFmtId="175"/>
    <numFmt formatCode="0.00%\ &quot;Feb avg FX&quot;" numFmtId="176"/>
    <numFmt formatCode="0.00%\ &quot;Apr avg FX&quot;" numFmtId="177"/>
    <numFmt formatCode="0.00%\ &quot;May avg FX&quot;" numFmtId="178"/>
    <numFmt formatCode="0.00%\ &quot;Jun avg FX&quot;" numFmtId="179"/>
    <numFmt formatCode="0.00%\ &quot;July avg FX&quot;" numFmtId="180"/>
    <numFmt formatCode="0.00%\ &quot;Aug avg FX&quot;" numFmtId="181"/>
    <numFmt formatCode="0.00%\ &quot;July MTD FX&quot;" numFmtId="182"/>
    <numFmt formatCode="0.00%\ &quot;Aug MTD FX&quot;" numFmtId="183"/>
    <numFmt formatCode="_(&quot;$&quot;* #,##0.00_);_(&quot;$&quot;* \(#,##0.00\);_(&quot;$&quot;* &quot;-&quot;??_);_(@_)" numFmtId="184"/>
  </numFmts>
  <fonts count="1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sz val="8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Calibri"/>
      <family val="2"/>
      <color theme="0"/>
      <sz val="11"/>
      <scheme val="minor"/>
    </font>
    <font>
      <name val="Calibri"/>
      <family val="2"/>
      <color theme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sz val="16"/>
      <scheme val="minor"/>
    </font>
    <font>
      <name val="Calibri"/>
      <family val="2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borderId="0" fillId="0" fontId="4" numFmtId="0"/>
    <xf borderId="0" fillId="0" fontId="4" numFmtId="0"/>
    <xf borderId="0" fillId="0" fontId="7" numFmtId="0"/>
    <xf borderId="0" fillId="0" fontId="4" numFmtId="184"/>
    <xf borderId="0" fillId="0" fontId="16" numFmtId="0"/>
    <xf borderId="0" fillId="0" fontId="17" numFmtId="0"/>
  </cellStyleXfs>
  <cellXfs count="99">
    <xf borderId="0" fillId="0" fontId="0" numFmtId="0" pivotButton="0" quotePrefix="0" xfId="0"/>
    <xf applyAlignment="1" borderId="1" fillId="0" fontId="2" numFmtId="14" pivotButton="0" quotePrefix="0" xfId="0">
      <alignment horizontal="center" vertical="center" wrapText="1"/>
    </xf>
    <xf applyAlignment="1" borderId="4" fillId="0" fontId="3" numFmtId="0" pivotButton="0" quotePrefix="0" xfId="0">
      <alignment horizontal="center" vertical="center"/>
    </xf>
    <xf applyAlignment="1" borderId="5" fillId="0" fontId="3" numFmtId="0" pivotButton="0" quotePrefix="0" xfId="0">
      <alignment horizontal="center" vertical="center"/>
    </xf>
    <xf borderId="0" fillId="0" fontId="3" numFmtId="10" pivotButton="0" quotePrefix="0" xfId="0"/>
    <xf applyAlignment="1" borderId="1" fillId="0" fontId="9" numFmtId="0" pivotButton="0" quotePrefix="0" xfId="0">
      <alignment vertical="center" wrapText="1"/>
    </xf>
    <xf applyAlignment="1" borderId="4" fillId="0" fontId="3" numFmtId="0" pivotButton="0" quotePrefix="0" xfId="0">
      <alignment vertical="center"/>
    </xf>
    <xf borderId="1" fillId="0" fontId="3" numFmtId="10" pivotButton="0" quotePrefix="0" xfId="0"/>
    <xf borderId="1" fillId="0" fontId="1" numFmtId="10" pivotButton="0" quotePrefix="0" xfId="0"/>
    <xf applyAlignment="1" borderId="4" fillId="0" fontId="9" numFmtId="0" pivotButton="0" quotePrefix="0" xfId="0">
      <alignment horizontal="center" vertical="center"/>
    </xf>
    <xf borderId="1" fillId="0" fontId="9" numFmtId="10" pivotButton="0" quotePrefix="0" xfId="0"/>
    <xf borderId="1" fillId="0" fontId="12" numFmtId="10" pivotButton="0" quotePrefix="0" xfId="0"/>
    <xf applyAlignment="1" borderId="8" fillId="0" fontId="9" numFmtId="0" pivotButton="0" quotePrefix="0" xfId="0">
      <alignment horizontal="center" vertical="center"/>
    </xf>
    <xf applyAlignment="1" borderId="7" fillId="0" fontId="9" numFmtId="0" pivotButton="0" quotePrefix="0" xfId="0">
      <alignment horizontal="center" vertical="center"/>
    </xf>
    <xf applyAlignment="1" borderId="0" fillId="3" fontId="10" numFmtId="0" pivotButton="0" quotePrefix="0" xfId="0">
      <alignment horizontal="center" vertical="center"/>
    </xf>
    <xf applyAlignment="1" borderId="7" fillId="0" fontId="9" numFmtId="14" pivotButton="0" quotePrefix="0" xfId="0">
      <alignment horizontal="center" vertical="center" wrapText="1"/>
    </xf>
    <xf applyAlignment="1" borderId="1" fillId="0" fontId="9" numFmtId="14" pivotButton="0" quotePrefix="0" xfId="0">
      <alignment horizontal="center" vertical="center" wrapText="1"/>
    </xf>
    <xf applyAlignment="1" borderId="10" fillId="0" fontId="14" numFmtId="10" pivotButton="0" quotePrefix="0" xfId="0">
      <alignment horizontal="center" vertical="center"/>
    </xf>
    <xf applyAlignment="1" borderId="11" fillId="0" fontId="14" numFmtId="10" pivotButton="0" quotePrefix="0" xfId="0">
      <alignment horizontal="center" vertical="center"/>
    </xf>
    <xf applyAlignment="1" borderId="10" fillId="0" fontId="14" numFmtId="10" pivotButton="0" quotePrefix="0" xfId="1">
      <alignment horizontal="center" vertical="center"/>
    </xf>
    <xf applyAlignment="1" borderId="11" fillId="0" fontId="14" numFmtId="10" pivotButton="0" quotePrefix="0" xfId="1">
      <alignment horizontal="center" vertical="center"/>
    </xf>
    <xf borderId="0" fillId="0" fontId="6" numFmtId="0" pivotButton="0" quotePrefix="0" xfId="0"/>
    <xf borderId="0" fillId="0" fontId="8" numFmtId="0" pivotButton="0" quotePrefix="0" xfId="0"/>
    <xf applyAlignment="1" borderId="9" fillId="0" fontId="12" numFmtId="164" pivotButton="0" quotePrefix="0" xfId="0">
      <alignment horizontal="center" vertical="center" wrapText="1"/>
    </xf>
    <xf applyAlignment="1" borderId="10" fillId="0" fontId="12" numFmtId="164" pivotButton="0" quotePrefix="0" xfId="0">
      <alignment horizontal="center" vertical="center" wrapText="1"/>
    </xf>
    <xf applyAlignment="1" borderId="1" fillId="0" fontId="2" numFmtId="164" pivotButton="0" quotePrefix="0" xfId="0">
      <alignment horizontal="right" vertical="center" wrapText="1"/>
    </xf>
    <xf borderId="1" fillId="0" fontId="1" numFmtId="164" pivotButton="0" quotePrefix="0" xfId="0"/>
    <xf applyAlignment="1" borderId="2" fillId="0" fontId="2" numFmtId="164" pivotButton="0" quotePrefix="0" xfId="0">
      <alignment horizontal="right" vertical="center" wrapText="1"/>
    </xf>
    <xf borderId="1" fillId="0" fontId="12" numFmtId="164" pivotButton="0" quotePrefix="0" xfId="0"/>
    <xf applyAlignment="1" borderId="1" fillId="2" fontId="2" numFmtId="164" pivotButton="0" quotePrefix="0" xfId="0">
      <alignment horizontal="right" vertical="center" wrapText="1"/>
    </xf>
    <xf applyAlignment="1" borderId="2" fillId="2" fontId="2" numFmtId="164" pivotButton="0" quotePrefix="0" xfId="0">
      <alignment horizontal="right" vertical="center" wrapText="1"/>
    </xf>
    <xf borderId="0" fillId="0" fontId="6" numFmtId="165" pivotButton="0" quotePrefix="0" xfId="1"/>
    <xf borderId="0" fillId="0" fontId="1" numFmtId="0" pivotButton="0" quotePrefix="0" xfId="0"/>
    <xf borderId="0" fillId="0" fontId="0" numFmtId="0" pivotButton="0" quotePrefix="0" xfId="0"/>
    <xf borderId="0" fillId="0" fontId="13" numFmtId="0" pivotButton="0" quotePrefix="0" xfId="0"/>
    <xf applyAlignment="1" borderId="1" fillId="0" fontId="9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borderId="1" fillId="0" fontId="0" numFmtId="0" pivotButton="0" quotePrefix="0" xfId="0"/>
    <xf borderId="0" fillId="0" fontId="5" numFmtId="166" pivotButton="0" quotePrefix="0" xfId="0"/>
    <xf applyAlignment="1" borderId="1" fillId="0" fontId="2" numFmtId="167" pivotButton="0" quotePrefix="0" xfId="0">
      <alignment vertical="center" wrapText="1"/>
    </xf>
    <xf applyAlignment="1" borderId="0" fillId="0" fontId="15" numFmtId="168" pivotButton="0" quotePrefix="0" xfId="3">
      <alignment horizontal="center" vertical="center" wrapText="1"/>
    </xf>
    <xf borderId="0" fillId="0" fontId="0" numFmtId="169" pivotButton="0" quotePrefix="0" xfId="1"/>
    <xf borderId="0" fillId="0" fontId="6" numFmtId="170" pivotButton="0" quotePrefix="0" xfId="1"/>
    <xf borderId="0" fillId="0" fontId="0" numFmtId="171" pivotButton="0" quotePrefix="0" xfId="1"/>
    <xf borderId="0" fillId="0" fontId="6" numFmtId="169" pivotButton="0" quotePrefix="0" xfId="1"/>
    <xf borderId="0" fillId="0" fontId="0" numFmtId="172" pivotButton="0" quotePrefix="0" xfId="1"/>
    <xf borderId="0" fillId="0" fontId="6" numFmtId="171" pivotButton="0" quotePrefix="0" xfId="1"/>
    <xf borderId="0" fillId="0" fontId="0" numFmtId="173" pivotButton="0" quotePrefix="0" xfId="1"/>
    <xf borderId="0" fillId="0" fontId="6" numFmtId="174" pivotButton="0" quotePrefix="0" xfId="1"/>
    <xf borderId="0" fillId="0" fontId="6" numFmtId="173" pivotButton="0" quotePrefix="0" xfId="1"/>
    <xf borderId="0" fillId="0" fontId="0" numFmtId="175" pivotButton="0" quotePrefix="0" xfId="1"/>
    <xf borderId="0" fillId="0" fontId="6" numFmtId="176" pivotButton="0" quotePrefix="0" xfId="1"/>
    <xf borderId="0" fillId="0" fontId="0" numFmtId="177" pivotButton="0" quotePrefix="0" xfId="1"/>
    <xf borderId="0" fillId="0" fontId="6" numFmtId="175" pivotButton="0" quotePrefix="0" xfId="1"/>
    <xf borderId="0" fillId="0" fontId="0" numFmtId="178" pivotButton="0" quotePrefix="0" xfId="1"/>
    <xf borderId="0" fillId="0" fontId="6" numFmtId="177" pivotButton="0" quotePrefix="0" xfId="1"/>
    <xf borderId="0" fillId="0" fontId="0" numFmtId="179" pivotButton="0" quotePrefix="0" xfId="1"/>
    <xf borderId="0" fillId="0" fontId="6" numFmtId="178" pivotButton="0" quotePrefix="0" xfId="1"/>
    <xf borderId="0" fillId="0" fontId="0" numFmtId="180" pivotButton="0" quotePrefix="0" xfId="1"/>
    <xf borderId="0" fillId="0" fontId="0" numFmtId="181" pivotButton="0" quotePrefix="0" xfId="1"/>
    <xf borderId="0" fillId="0" fontId="6" numFmtId="182" pivotButton="0" quotePrefix="0" xfId="1"/>
    <xf borderId="0" fillId="0" fontId="6" numFmtId="183" pivotButton="0" quotePrefix="0" xfId="1"/>
    <xf applyAlignment="1" borderId="0" fillId="0" fontId="16" numFmtId="0" pivotButton="0" quotePrefix="0" xfId="4">
      <alignment horizontal="center"/>
    </xf>
    <xf borderId="0" fillId="0" fontId="1" numFmtId="0" pivotButton="0" quotePrefix="0" xfId="0"/>
    <xf borderId="0" fillId="0" fontId="0" numFmtId="0" pivotButton="0" quotePrefix="0" xfId="0"/>
    <xf applyAlignment="1" borderId="12" fillId="0" fontId="1" numFmtId="167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borderId="0" fillId="0" fontId="13" numFmtId="0" pivotButton="0" quotePrefix="0" xfId="0"/>
    <xf applyAlignment="1" borderId="1" fillId="0" fontId="9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3" fillId="0" fontId="11" numFmtId="0" pivotButton="0" quotePrefix="0" xfId="0">
      <alignment horizontal="center" vertical="center" wrapText="1"/>
    </xf>
    <xf borderId="1" fillId="0" fontId="0" numFmtId="0" pivotButton="0" quotePrefix="0" xfId="0"/>
    <xf applyAlignment="1" borderId="6" fillId="3" fontId="10" numFmtId="0" pivotButton="0" quotePrefix="0" xfId="0">
      <alignment horizontal="center" vertical="center"/>
    </xf>
    <xf applyAlignment="1" borderId="12" fillId="0" fontId="1" numFmtId="167" pivotButton="0" quotePrefix="0" xfId="0">
      <alignment horizontal="center" vertical="center" wrapText="1"/>
    </xf>
    <xf borderId="0" fillId="0" fontId="5" numFmtId="166" pivotButton="0" quotePrefix="0" xfId="0"/>
    <xf applyAlignment="1" borderId="1" fillId="0" fontId="2" numFmtId="167" pivotButton="0" quotePrefix="0" xfId="0">
      <alignment vertical="center" wrapText="1"/>
    </xf>
    <xf applyAlignment="1" borderId="0" fillId="0" fontId="15" numFmtId="168" pivotButton="0" quotePrefix="0" xfId="3">
      <alignment horizontal="center" vertical="center" wrapText="1"/>
    </xf>
    <xf borderId="0" fillId="0" fontId="0" numFmtId="169" pivotButton="0" quotePrefix="0" xfId="1"/>
    <xf borderId="0" fillId="0" fontId="6" numFmtId="170" pivotButton="0" quotePrefix="0" xfId="1"/>
    <xf borderId="0" fillId="0" fontId="0" numFmtId="171" pivotButton="0" quotePrefix="0" xfId="1"/>
    <xf borderId="0" fillId="0" fontId="6" numFmtId="169" pivotButton="0" quotePrefix="0" xfId="1"/>
    <xf borderId="0" fillId="0" fontId="0" numFmtId="172" pivotButton="0" quotePrefix="0" xfId="1"/>
    <xf borderId="0" fillId="0" fontId="6" numFmtId="171" pivotButton="0" quotePrefix="0" xfId="1"/>
    <xf borderId="0" fillId="0" fontId="0" numFmtId="173" pivotButton="0" quotePrefix="0" xfId="1"/>
    <xf borderId="0" fillId="0" fontId="6" numFmtId="174" pivotButton="0" quotePrefix="0" xfId="1"/>
    <xf borderId="0" fillId="0" fontId="6" numFmtId="173" pivotButton="0" quotePrefix="0" xfId="1"/>
    <xf borderId="0" fillId="0" fontId="0" numFmtId="175" pivotButton="0" quotePrefix="0" xfId="1"/>
    <xf borderId="0" fillId="0" fontId="6" numFmtId="176" pivotButton="0" quotePrefix="0" xfId="1"/>
    <xf borderId="0" fillId="0" fontId="0" numFmtId="177" pivotButton="0" quotePrefix="0" xfId="1"/>
    <xf borderId="0" fillId="0" fontId="6" numFmtId="175" pivotButton="0" quotePrefix="0" xfId="1"/>
    <xf borderId="0" fillId="0" fontId="0" numFmtId="178" pivotButton="0" quotePrefix="0" xfId="1"/>
    <xf borderId="0" fillId="0" fontId="6" numFmtId="177" pivotButton="0" quotePrefix="0" xfId="1"/>
    <xf borderId="0" fillId="0" fontId="0" numFmtId="179" pivotButton="0" quotePrefix="0" xfId="1"/>
    <xf borderId="0" fillId="0" fontId="6" numFmtId="178" pivotButton="0" quotePrefix="0" xfId="1"/>
    <xf borderId="0" fillId="0" fontId="0" numFmtId="180" pivotButton="0" quotePrefix="0" xfId="1"/>
    <xf borderId="0" fillId="0" fontId="6" numFmtId="165" pivotButton="0" quotePrefix="0" xfId="1"/>
    <xf borderId="0" fillId="0" fontId="0" numFmtId="181" pivotButton="0" quotePrefix="0" xfId="1"/>
    <xf borderId="0" fillId="0" fontId="6" numFmtId="182" pivotButton="0" quotePrefix="0" xfId="1"/>
    <xf borderId="0" fillId="0" fontId="6" numFmtId="183" pivotButton="0" quotePrefix="0" xfId="1"/>
  </cellXfs>
  <cellStyles count="6">
    <cellStyle builtinId="0" name="Normal" xfId="0"/>
    <cellStyle builtinId="5" name="Percent" xfId="1"/>
    <cellStyle name="Normal 2" xfId="2"/>
    <cellStyle builtinId="4" name="Currency" xfId="3"/>
    <cellStyle builtinId="8" name="Hyperlink" xfId="4"/>
    <cellStyle name="Normal 3" xfId="5"/>
  </cellStyles>
  <dxfs count="377"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0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theme="0"/>
        </patternFill>
      </fill>
    </dxf>
    <dxf>
      <fill>
        <patternFill>
          <bgColor theme="4" tint="0.5999633777886288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anchor="ctr" anchorCtr="1" rot="0" spcFirstLastPara="1" vert="horz" vertOverflow="ellipsis" wrap="square"/>
          <a:lstStyle xmlns:a="http://schemas.openxmlformats.org/drawingml/2006/main"/>
          <a:p xmlns:a="http://schemas.openxmlformats.org/drawingml/2006/main">
            <a:pPr>
              <a:defRPr b="1" baseline="0" i="0" kern="1200" strike="noStrike" sz="18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002060"/>
                </a:solidFill>
              </a:rPr>
              <a:t>Exchange Rate Fluctuation</a:t>
            </a:r>
          </a:p>
        </rich>
      </tx>
      <layout>
        <manualLayout>
          <xMode val="edge"/>
          <yMode val="edge"/>
          <x val="0.3972722474922645"/>
          <y val="0.00849928033189399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x val="0.04388170106187707"/>
          <y val="0.08361294555922445"/>
          <w val="0.9206526060193361"/>
          <h val="0.7571535696311901"/>
        </manualLayout>
      </layout>
      <lineChart>
        <grouping val="standard"/>
        <varyColors val="0"/>
        <ser>
          <idx val="0"/>
          <order val="0"/>
          <tx>
            <strRef>
              <f>Data!$A$4</f>
              <strCache>
                <ptCount val="1"/>
                <pt idx="0">
                  <v>FY17</v>
                </pt>
              </strCache>
            </strRef>
          </tx>
          <spPr>
            <a:ln xmlns:a="http://schemas.openxmlformats.org/drawingml/2006/main" cap="rnd" w="34925">
              <a:solidFill>
                <a:srgbClr val="EB6C1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Data!$A$737:$A$1101</f>
              <numCache>
                <formatCode>m/d/yyyy</formatCode>
                <ptCount val="365"/>
                <pt idx="0">
                  <v>42614</v>
                </pt>
                <pt idx="1">
                  <v>42615</v>
                </pt>
                <pt idx="2">
                  <v>42616</v>
                </pt>
                <pt idx="3">
                  <v>42617</v>
                </pt>
                <pt idx="4">
                  <v>42618</v>
                </pt>
                <pt idx="5">
                  <v>42619</v>
                </pt>
                <pt idx="6">
                  <v>42620</v>
                </pt>
                <pt idx="7">
                  <v>42621</v>
                </pt>
                <pt idx="8">
                  <v>42622</v>
                </pt>
                <pt idx="9">
                  <v>42623</v>
                </pt>
                <pt idx="10">
                  <v>42624</v>
                </pt>
                <pt idx="11">
                  <v>42625</v>
                </pt>
                <pt idx="12">
                  <v>42626</v>
                </pt>
                <pt idx="13">
                  <v>42627</v>
                </pt>
                <pt idx="14">
                  <v>42628</v>
                </pt>
                <pt idx="15">
                  <v>42629</v>
                </pt>
                <pt idx="16">
                  <v>42630</v>
                </pt>
                <pt idx="17">
                  <v>42631</v>
                </pt>
                <pt idx="18">
                  <v>42632</v>
                </pt>
                <pt idx="19">
                  <v>42633</v>
                </pt>
                <pt idx="20">
                  <v>42634</v>
                </pt>
                <pt idx="21">
                  <v>42635</v>
                </pt>
                <pt idx="22">
                  <v>42636</v>
                </pt>
                <pt idx="23">
                  <v>42637</v>
                </pt>
                <pt idx="24">
                  <v>42638</v>
                </pt>
                <pt idx="25">
                  <v>42639</v>
                </pt>
                <pt idx="26">
                  <v>42640</v>
                </pt>
                <pt idx="27">
                  <v>42641</v>
                </pt>
                <pt idx="28">
                  <v>42642</v>
                </pt>
                <pt idx="29">
                  <v>42643</v>
                </pt>
                <pt idx="30">
                  <v>42644</v>
                </pt>
                <pt idx="31">
                  <v>42645</v>
                </pt>
                <pt idx="32">
                  <v>42646</v>
                </pt>
                <pt idx="33">
                  <v>42647</v>
                </pt>
                <pt idx="34">
                  <v>42648</v>
                </pt>
                <pt idx="35">
                  <v>42649</v>
                </pt>
                <pt idx="36">
                  <v>42650</v>
                </pt>
                <pt idx="37">
                  <v>42651</v>
                </pt>
                <pt idx="38">
                  <v>42652</v>
                </pt>
                <pt idx="39">
                  <v>42653</v>
                </pt>
                <pt idx="40">
                  <v>42654</v>
                </pt>
                <pt idx="41">
                  <v>42655</v>
                </pt>
                <pt idx="42">
                  <v>42656</v>
                </pt>
                <pt idx="43">
                  <v>42657</v>
                </pt>
                <pt idx="44">
                  <v>42658</v>
                </pt>
                <pt idx="45">
                  <v>42659</v>
                </pt>
                <pt idx="46">
                  <v>42660</v>
                </pt>
                <pt idx="47">
                  <v>42661</v>
                </pt>
                <pt idx="48">
                  <v>42662</v>
                </pt>
                <pt idx="49">
                  <v>42663</v>
                </pt>
                <pt idx="50">
                  <v>42664</v>
                </pt>
                <pt idx="51">
                  <v>42665</v>
                </pt>
                <pt idx="52">
                  <v>42666</v>
                </pt>
                <pt idx="53">
                  <v>42667</v>
                </pt>
                <pt idx="54">
                  <v>42668</v>
                </pt>
                <pt idx="55">
                  <v>42669</v>
                </pt>
                <pt idx="56">
                  <v>42670</v>
                </pt>
                <pt idx="57">
                  <v>42671</v>
                </pt>
                <pt idx="58">
                  <v>42672</v>
                </pt>
                <pt idx="59">
                  <v>42673</v>
                </pt>
                <pt idx="60">
                  <v>42674</v>
                </pt>
                <pt idx="61">
                  <v>42675</v>
                </pt>
                <pt idx="62">
                  <v>42676</v>
                </pt>
                <pt idx="63">
                  <v>42677</v>
                </pt>
                <pt idx="64">
                  <v>42678</v>
                </pt>
                <pt idx="65">
                  <v>42679</v>
                </pt>
                <pt idx="66">
                  <v>42680</v>
                </pt>
                <pt idx="67">
                  <v>42681</v>
                </pt>
                <pt idx="68">
                  <v>42682</v>
                </pt>
                <pt idx="69">
                  <v>42683</v>
                </pt>
                <pt idx="70">
                  <v>42684</v>
                </pt>
                <pt idx="71">
                  <v>42685</v>
                </pt>
                <pt idx="72">
                  <v>42686</v>
                </pt>
                <pt idx="73">
                  <v>42687</v>
                </pt>
                <pt idx="74">
                  <v>42688</v>
                </pt>
                <pt idx="75">
                  <v>42689</v>
                </pt>
                <pt idx="76">
                  <v>42690</v>
                </pt>
                <pt idx="77">
                  <v>42691</v>
                </pt>
                <pt idx="78">
                  <v>42692</v>
                </pt>
                <pt idx="79">
                  <v>42693</v>
                </pt>
                <pt idx="80">
                  <v>42694</v>
                </pt>
                <pt idx="81">
                  <v>42695</v>
                </pt>
                <pt idx="82">
                  <v>42696</v>
                </pt>
                <pt idx="83">
                  <v>42697</v>
                </pt>
                <pt idx="84">
                  <v>42698</v>
                </pt>
                <pt idx="85">
                  <v>42699</v>
                </pt>
                <pt idx="86">
                  <v>42700</v>
                </pt>
                <pt idx="87">
                  <v>42701</v>
                </pt>
                <pt idx="88">
                  <v>42702</v>
                </pt>
                <pt idx="89">
                  <v>42703</v>
                </pt>
                <pt idx="90">
                  <v>42704</v>
                </pt>
                <pt idx="91">
                  <v>42705</v>
                </pt>
                <pt idx="92">
                  <v>42706</v>
                </pt>
                <pt idx="93">
                  <v>42707</v>
                </pt>
                <pt idx="94">
                  <v>42708</v>
                </pt>
                <pt idx="95">
                  <v>42709</v>
                </pt>
                <pt idx="96">
                  <v>42710</v>
                </pt>
                <pt idx="97">
                  <v>42711</v>
                </pt>
                <pt idx="98">
                  <v>42712</v>
                </pt>
                <pt idx="99">
                  <v>42713</v>
                </pt>
                <pt idx="100">
                  <v>42714</v>
                </pt>
                <pt idx="101">
                  <v>42715</v>
                </pt>
                <pt idx="102">
                  <v>42716</v>
                </pt>
                <pt idx="103">
                  <v>42717</v>
                </pt>
                <pt idx="104">
                  <v>42718</v>
                </pt>
                <pt idx="105">
                  <v>42719</v>
                </pt>
                <pt idx="106">
                  <v>42720</v>
                </pt>
                <pt idx="107">
                  <v>42721</v>
                </pt>
                <pt idx="108">
                  <v>42722</v>
                </pt>
                <pt idx="109">
                  <v>42723</v>
                </pt>
                <pt idx="110">
                  <v>42724</v>
                </pt>
                <pt idx="111">
                  <v>42725</v>
                </pt>
                <pt idx="112">
                  <v>42726</v>
                </pt>
                <pt idx="113">
                  <v>42727</v>
                </pt>
                <pt idx="114">
                  <v>42728</v>
                </pt>
                <pt idx="115">
                  <v>42729</v>
                </pt>
                <pt idx="116">
                  <v>42730</v>
                </pt>
                <pt idx="117">
                  <v>42731</v>
                </pt>
                <pt idx="118">
                  <v>42732</v>
                </pt>
                <pt idx="119">
                  <v>42733</v>
                </pt>
                <pt idx="120">
                  <v>42734</v>
                </pt>
                <pt idx="121">
                  <v>42735</v>
                </pt>
                <pt idx="122">
                  <v>42736</v>
                </pt>
                <pt idx="123">
                  <v>42737</v>
                </pt>
                <pt idx="124">
                  <v>42738</v>
                </pt>
                <pt idx="125">
                  <v>42739</v>
                </pt>
                <pt idx="126">
                  <v>42740</v>
                </pt>
                <pt idx="127">
                  <v>42741</v>
                </pt>
                <pt idx="128">
                  <v>42742</v>
                </pt>
                <pt idx="129">
                  <v>42743</v>
                </pt>
                <pt idx="130">
                  <v>42744</v>
                </pt>
                <pt idx="131">
                  <v>42745</v>
                </pt>
                <pt idx="132">
                  <v>42746</v>
                </pt>
                <pt idx="133">
                  <v>42747</v>
                </pt>
                <pt idx="134">
                  <v>42748</v>
                </pt>
                <pt idx="135">
                  <v>42749</v>
                </pt>
                <pt idx="136">
                  <v>42750</v>
                </pt>
                <pt idx="137">
                  <v>42751</v>
                </pt>
                <pt idx="138">
                  <v>42752</v>
                </pt>
                <pt idx="139">
                  <v>42753</v>
                </pt>
                <pt idx="140">
                  <v>42754</v>
                </pt>
                <pt idx="141">
                  <v>42755</v>
                </pt>
                <pt idx="142">
                  <v>42756</v>
                </pt>
                <pt idx="143">
                  <v>42757</v>
                </pt>
                <pt idx="144">
                  <v>42758</v>
                </pt>
                <pt idx="145">
                  <v>42759</v>
                </pt>
                <pt idx="146">
                  <v>42760</v>
                </pt>
                <pt idx="147">
                  <v>42761</v>
                </pt>
                <pt idx="148">
                  <v>42762</v>
                </pt>
                <pt idx="149">
                  <v>42763</v>
                </pt>
                <pt idx="150">
                  <v>42764</v>
                </pt>
                <pt idx="151">
                  <v>42765</v>
                </pt>
                <pt idx="152">
                  <v>42766</v>
                </pt>
                <pt idx="153">
                  <v>42767</v>
                </pt>
                <pt idx="154">
                  <v>42768</v>
                </pt>
                <pt idx="155">
                  <v>42769</v>
                </pt>
                <pt idx="156">
                  <v>42770</v>
                </pt>
                <pt idx="157">
                  <v>42771</v>
                </pt>
                <pt idx="158">
                  <v>42772</v>
                </pt>
                <pt idx="159">
                  <v>42773</v>
                </pt>
                <pt idx="160">
                  <v>42774</v>
                </pt>
                <pt idx="161">
                  <v>42775</v>
                </pt>
                <pt idx="162">
                  <v>42776</v>
                </pt>
                <pt idx="163">
                  <v>42777</v>
                </pt>
                <pt idx="164">
                  <v>42778</v>
                </pt>
                <pt idx="165">
                  <v>42779</v>
                </pt>
                <pt idx="166">
                  <v>42780</v>
                </pt>
                <pt idx="167">
                  <v>42781</v>
                </pt>
                <pt idx="168">
                  <v>42782</v>
                </pt>
                <pt idx="169">
                  <v>42783</v>
                </pt>
                <pt idx="170">
                  <v>42784</v>
                </pt>
                <pt idx="171">
                  <v>42785</v>
                </pt>
                <pt idx="172">
                  <v>42786</v>
                </pt>
                <pt idx="173">
                  <v>42787</v>
                </pt>
                <pt idx="174">
                  <v>42788</v>
                </pt>
                <pt idx="175">
                  <v>42789</v>
                </pt>
                <pt idx="176">
                  <v>42790</v>
                </pt>
                <pt idx="177">
                  <v>42791</v>
                </pt>
                <pt idx="178">
                  <v>42792</v>
                </pt>
                <pt idx="179">
                  <v>42793</v>
                </pt>
                <pt idx="180">
                  <v>42794</v>
                </pt>
                <pt idx="181">
                  <v>42795</v>
                </pt>
                <pt idx="182">
                  <v>42796</v>
                </pt>
                <pt idx="183">
                  <v>42797</v>
                </pt>
                <pt idx="184">
                  <v>42798</v>
                </pt>
                <pt idx="185">
                  <v>42799</v>
                </pt>
                <pt idx="186">
                  <v>42800</v>
                </pt>
                <pt idx="187">
                  <v>42801</v>
                </pt>
                <pt idx="188">
                  <v>42802</v>
                </pt>
                <pt idx="189">
                  <v>42803</v>
                </pt>
                <pt idx="190">
                  <v>42804</v>
                </pt>
                <pt idx="191">
                  <v>42805</v>
                </pt>
                <pt idx="192">
                  <v>42806</v>
                </pt>
                <pt idx="193">
                  <v>42807</v>
                </pt>
                <pt idx="194">
                  <v>42808</v>
                </pt>
                <pt idx="195">
                  <v>42809</v>
                </pt>
                <pt idx="196">
                  <v>42810</v>
                </pt>
                <pt idx="197">
                  <v>42811</v>
                </pt>
                <pt idx="198">
                  <v>42812</v>
                </pt>
                <pt idx="199">
                  <v>42813</v>
                </pt>
                <pt idx="200">
                  <v>42814</v>
                </pt>
                <pt idx="201">
                  <v>42815</v>
                </pt>
                <pt idx="202">
                  <v>42816</v>
                </pt>
                <pt idx="203">
                  <v>42817</v>
                </pt>
                <pt idx="204">
                  <v>42818</v>
                </pt>
                <pt idx="205">
                  <v>42819</v>
                </pt>
                <pt idx="206">
                  <v>42820</v>
                </pt>
                <pt idx="207">
                  <v>42821</v>
                </pt>
                <pt idx="208">
                  <v>42822</v>
                </pt>
                <pt idx="209">
                  <v>42823</v>
                </pt>
                <pt idx="210">
                  <v>42824</v>
                </pt>
                <pt idx="211">
                  <v>42825</v>
                </pt>
                <pt idx="212">
                  <v>42826</v>
                </pt>
                <pt idx="213">
                  <v>42827</v>
                </pt>
                <pt idx="214">
                  <v>42828</v>
                </pt>
                <pt idx="215">
                  <v>42829</v>
                </pt>
                <pt idx="216">
                  <v>42830</v>
                </pt>
                <pt idx="217">
                  <v>42831</v>
                </pt>
                <pt idx="218">
                  <v>42832</v>
                </pt>
                <pt idx="219">
                  <v>42833</v>
                </pt>
                <pt idx="220">
                  <v>42834</v>
                </pt>
                <pt idx="221">
                  <v>42835</v>
                </pt>
                <pt idx="222">
                  <v>42836</v>
                </pt>
                <pt idx="223">
                  <v>42837</v>
                </pt>
                <pt idx="224">
                  <v>42838</v>
                </pt>
                <pt idx="225">
                  <v>42839</v>
                </pt>
                <pt idx="226">
                  <v>42840</v>
                </pt>
                <pt idx="227">
                  <v>42841</v>
                </pt>
                <pt idx="228">
                  <v>42842</v>
                </pt>
                <pt idx="229">
                  <v>42843</v>
                </pt>
                <pt idx="230">
                  <v>42844</v>
                </pt>
                <pt idx="231">
                  <v>42845</v>
                </pt>
                <pt idx="232">
                  <v>42846</v>
                </pt>
                <pt idx="233">
                  <v>42847</v>
                </pt>
                <pt idx="234">
                  <v>42848</v>
                </pt>
                <pt idx="235">
                  <v>42849</v>
                </pt>
                <pt idx="236">
                  <v>42850</v>
                </pt>
                <pt idx="237">
                  <v>42851</v>
                </pt>
                <pt idx="238">
                  <v>42852</v>
                </pt>
                <pt idx="239">
                  <v>42853</v>
                </pt>
                <pt idx="240">
                  <v>42854</v>
                </pt>
                <pt idx="241">
                  <v>42855</v>
                </pt>
                <pt idx="242">
                  <v>42856</v>
                </pt>
                <pt idx="243">
                  <v>42857</v>
                </pt>
                <pt idx="244">
                  <v>42858</v>
                </pt>
                <pt idx="245">
                  <v>42859</v>
                </pt>
                <pt idx="246">
                  <v>42860</v>
                </pt>
                <pt idx="247">
                  <v>42861</v>
                </pt>
                <pt idx="248">
                  <v>42862</v>
                </pt>
                <pt idx="249">
                  <v>42863</v>
                </pt>
                <pt idx="250">
                  <v>42864</v>
                </pt>
                <pt idx="251">
                  <v>42865</v>
                </pt>
                <pt idx="252">
                  <v>42866</v>
                </pt>
                <pt idx="253">
                  <v>42867</v>
                </pt>
                <pt idx="254">
                  <v>42868</v>
                </pt>
                <pt idx="255">
                  <v>42869</v>
                </pt>
                <pt idx="256">
                  <v>42870</v>
                </pt>
                <pt idx="257">
                  <v>42871</v>
                </pt>
                <pt idx="258">
                  <v>42872</v>
                </pt>
                <pt idx="259">
                  <v>42873</v>
                </pt>
                <pt idx="260">
                  <v>42874</v>
                </pt>
                <pt idx="261">
                  <v>42875</v>
                </pt>
                <pt idx="262">
                  <v>42876</v>
                </pt>
                <pt idx="263">
                  <v>42877</v>
                </pt>
                <pt idx="264">
                  <v>42878</v>
                </pt>
                <pt idx="265">
                  <v>42879</v>
                </pt>
                <pt idx="266">
                  <v>42880</v>
                </pt>
                <pt idx="267">
                  <v>42881</v>
                </pt>
                <pt idx="268">
                  <v>42882</v>
                </pt>
                <pt idx="269">
                  <v>42883</v>
                </pt>
                <pt idx="270">
                  <v>42884</v>
                </pt>
                <pt idx="271">
                  <v>42885</v>
                </pt>
                <pt idx="272">
                  <v>42886</v>
                </pt>
                <pt idx="273">
                  <v>42887</v>
                </pt>
                <pt idx="274">
                  <v>42888</v>
                </pt>
                <pt idx="275">
                  <v>42889</v>
                </pt>
                <pt idx="276">
                  <v>42890</v>
                </pt>
                <pt idx="277">
                  <v>42891</v>
                </pt>
                <pt idx="278">
                  <v>42892</v>
                </pt>
                <pt idx="279">
                  <v>42893</v>
                </pt>
                <pt idx="280">
                  <v>42894</v>
                </pt>
                <pt idx="281">
                  <v>42895</v>
                </pt>
                <pt idx="282">
                  <v>42896</v>
                </pt>
                <pt idx="283">
                  <v>42897</v>
                </pt>
                <pt idx="284">
                  <v>42898</v>
                </pt>
                <pt idx="285">
                  <v>42899</v>
                </pt>
                <pt idx="286">
                  <v>42900</v>
                </pt>
                <pt idx="287">
                  <v>42901</v>
                </pt>
                <pt idx="288">
                  <v>42902</v>
                </pt>
                <pt idx="289">
                  <v>42903</v>
                </pt>
                <pt idx="290">
                  <v>42904</v>
                </pt>
                <pt idx="291">
                  <v>42905</v>
                </pt>
                <pt idx="292">
                  <v>42906</v>
                </pt>
                <pt idx="293">
                  <v>42907</v>
                </pt>
                <pt idx="294">
                  <v>42908</v>
                </pt>
                <pt idx="295">
                  <v>42909</v>
                </pt>
                <pt idx="296">
                  <v>42910</v>
                </pt>
                <pt idx="297">
                  <v>42911</v>
                </pt>
                <pt idx="298">
                  <v>42912</v>
                </pt>
                <pt idx="299">
                  <v>42913</v>
                </pt>
                <pt idx="300">
                  <v>42914</v>
                </pt>
                <pt idx="301">
                  <v>42915</v>
                </pt>
                <pt idx="302">
                  <v>42916</v>
                </pt>
                <pt idx="303">
                  <v>42917</v>
                </pt>
                <pt idx="304">
                  <v>42918</v>
                </pt>
                <pt idx="305">
                  <v>42919</v>
                </pt>
                <pt idx="306">
                  <v>42920</v>
                </pt>
                <pt idx="307">
                  <v>42921</v>
                </pt>
                <pt idx="308">
                  <v>42922</v>
                </pt>
                <pt idx="309">
                  <v>42923</v>
                </pt>
                <pt idx="310">
                  <v>42924</v>
                </pt>
                <pt idx="311">
                  <v>42925</v>
                </pt>
                <pt idx="312">
                  <v>42926</v>
                </pt>
                <pt idx="313">
                  <v>42927</v>
                </pt>
                <pt idx="314">
                  <v>42928</v>
                </pt>
                <pt idx="315">
                  <v>42929</v>
                </pt>
                <pt idx="316">
                  <v>42930</v>
                </pt>
                <pt idx="317">
                  <v>42931</v>
                </pt>
                <pt idx="318">
                  <v>42932</v>
                </pt>
                <pt idx="319">
                  <v>42933</v>
                </pt>
                <pt idx="320">
                  <v>42934</v>
                </pt>
                <pt idx="321">
                  <v>42935</v>
                </pt>
                <pt idx="322">
                  <v>42936</v>
                </pt>
                <pt idx="323">
                  <v>42937</v>
                </pt>
                <pt idx="324">
                  <v>42938</v>
                </pt>
                <pt idx="325">
                  <v>42939</v>
                </pt>
                <pt idx="326">
                  <v>42940</v>
                </pt>
                <pt idx="327">
                  <v>42941</v>
                </pt>
                <pt idx="328">
                  <v>42942</v>
                </pt>
                <pt idx="329">
                  <v>42943</v>
                </pt>
                <pt idx="330">
                  <v>42944</v>
                </pt>
                <pt idx="331">
                  <v>42945</v>
                </pt>
                <pt idx="332">
                  <v>42946</v>
                </pt>
                <pt idx="333">
                  <v>42947</v>
                </pt>
                <pt idx="334">
                  <v>42948</v>
                </pt>
                <pt idx="335">
                  <v>42949</v>
                </pt>
                <pt idx="336">
                  <v>42950</v>
                </pt>
                <pt idx="337">
                  <v>42951</v>
                </pt>
                <pt idx="338">
                  <v>42952</v>
                </pt>
                <pt idx="339">
                  <v>42953</v>
                </pt>
                <pt idx="340">
                  <v>42954</v>
                </pt>
                <pt idx="341">
                  <v>42955</v>
                </pt>
                <pt idx="342">
                  <v>42956</v>
                </pt>
                <pt idx="343">
                  <v>42957</v>
                </pt>
                <pt idx="344">
                  <v>42958</v>
                </pt>
                <pt idx="345">
                  <v>42959</v>
                </pt>
                <pt idx="346">
                  <v>42960</v>
                </pt>
                <pt idx="347">
                  <v>42961</v>
                </pt>
                <pt idx="348">
                  <v>42962</v>
                </pt>
                <pt idx="349">
                  <v>42963</v>
                </pt>
                <pt idx="350">
                  <v>42964</v>
                </pt>
                <pt idx="351">
                  <v>42965</v>
                </pt>
                <pt idx="352">
                  <v>42966</v>
                </pt>
                <pt idx="353">
                  <v>42967</v>
                </pt>
                <pt idx="354">
                  <v>42968</v>
                </pt>
                <pt idx="355">
                  <v>42969</v>
                </pt>
                <pt idx="356">
                  <v>42970</v>
                </pt>
                <pt idx="357">
                  <v>42971</v>
                </pt>
                <pt idx="358">
                  <v>42972</v>
                </pt>
                <pt idx="359">
                  <v>42973</v>
                </pt>
                <pt idx="360">
                  <v>42974</v>
                </pt>
                <pt idx="361">
                  <v>42975</v>
                </pt>
                <pt idx="362">
                  <v>42976</v>
                </pt>
                <pt idx="363">
                  <v>42977</v>
                </pt>
                <pt idx="364">
                  <v>42978</v>
                </pt>
              </numCache>
            </numRef>
          </cat>
          <val>
            <numRef>
              <f>Data!$B$737:$B$1101</f>
              <numCache>
                <formatCode>"$"\ #,##0.00_);[Red]\("$"\ #,##0.00\)</formatCode>
                <ptCount val="365"/>
                <pt idx="0">
                  <v>2956.53</v>
                </pt>
                <pt idx="1">
                  <v>2986.36</v>
                </pt>
                <pt idx="2">
                  <v>2957.56</v>
                </pt>
                <pt idx="3">
                  <v>2957.56</v>
                </pt>
                <pt idx="4">
                  <v>2957.56</v>
                </pt>
                <pt idx="5">
                  <v>2957.56</v>
                </pt>
                <pt idx="6">
                  <v>2887.64</v>
                </pt>
                <pt idx="7">
                  <v>2840.38</v>
                </pt>
                <pt idx="8">
                  <v>2846.13</v>
                </pt>
                <pt idx="9">
                  <v>2899.29</v>
                </pt>
                <pt idx="10">
                  <v>2899.29</v>
                </pt>
                <pt idx="11">
                  <v>2899.29</v>
                </pt>
                <pt idx="12">
                  <v>2942.29</v>
                </pt>
                <pt idx="13">
                  <v>2976.19</v>
                </pt>
                <pt idx="14">
                  <v>2972.65</v>
                </pt>
                <pt idx="15">
                  <v>2938.5</v>
                </pt>
                <pt idx="16">
                  <v>2956.58</v>
                </pt>
                <pt idx="17">
                  <v>2956.58</v>
                </pt>
                <pt idx="18">
                  <v>2956.58</v>
                </pt>
                <pt idx="19">
                  <v>2928.18</v>
                </pt>
                <pt idx="20">
                  <v>2911.11</v>
                </pt>
                <pt idx="21">
                  <v>2894.15</v>
                </pt>
                <pt idx="22">
                  <v>2862.52</v>
                </pt>
                <pt idx="23">
                  <v>2917.95</v>
                </pt>
                <pt idx="24">
                  <v>2917.95</v>
                </pt>
                <pt idx="25">
                  <v>2917.95</v>
                </pt>
                <pt idx="26">
                  <v>2917.58</v>
                </pt>
                <pt idx="27">
                  <v>2921.99</v>
                </pt>
                <pt idx="28">
                  <v>2914.11</v>
                </pt>
                <pt idx="29">
                  <v>2879.95</v>
                </pt>
                <pt idx="30">
                  <v>2880.08</v>
                </pt>
                <pt idx="31">
                  <v>2880.08</v>
                </pt>
                <pt idx="32">
                  <v>2880.08</v>
                </pt>
                <pt idx="33">
                  <v>2937.23</v>
                </pt>
                <pt idx="34">
                  <v>2963.06</v>
                </pt>
                <pt idx="35">
                  <v>2964.93</v>
                </pt>
                <pt idx="36">
                  <v>2924.8</v>
                </pt>
                <pt idx="37">
                  <v>2913.96</v>
                </pt>
                <pt idx="38">
                  <v>2913.96</v>
                </pt>
                <pt idx="39">
                  <v>2913.96</v>
                </pt>
                <pt idx="40">
                  <v>2913.96</v>
                </pt>
                <pt idx="41">
                  <v>2919.51</v>
                </pt>
                <pt idx="42">
                  <v>2919.18</v>
                </pt>
                <pt idx="43">
                  <v>2930.78</v>
                </pt>
                <pt idx="44">
                  <v>2915.67</v>
                </pt>
                <pt idx="45">
                  <v>2915.67</v>
                </pt>
                <pt idx="46">
                  <v>2915.67</v>
                </pt>
                <pt idx="47">
                  <v>2915.67</v>
                </pt>
                <pt idx="48">
                  <v>2905.93</v>
                </pt>
                <pt idx="49">
                  <v>2914.15</v>
                </pt>
                <pt idx="50">
                  <v>2934.03</v>
                </pt>
                <pt idx="51">
                  <v>2944.25</v>
                </pt>
                <pt idx="52">
                  <v>2944.25</v>
                </pt>
                <pt idx="53">
                  <v>2944.25</v>
                </pt>
                <pt idx="54">
                  <v>2929.83</v>
                </pt>
                <pt idx="55">
                  <v>2941.34</v>
                </pt>
                <pt idx="56">
                  <v>2965.18</v>
                </pt>
                <pt idx="57">
                  <v>2966.61</v>
                </pt>
                <pt idx="58">
                  <v>2967.66</v>
                </pt>
                <pt idx="59">
                  <v>2967.66</v>
                </pt>
                <pt idx="60">
                  <v>2967.66</v>
                </pt>
                <pt idx="61">
                  <v>2988.55</v>
                </pt>
                <pt idx="62">
                  <v>3026.68</v>
                </pt>
                <pt idx="63">
                  <v>3070.54</v>
                </pt>
                <pt idx="64">
                  <v>3071.12</v>
                </pt>
                <pt idx="65">
                  <v>3070.4</v>
                </pt>
                <pt idx="66">
                  <v>3070.4</v>
                </pt>
                <pt idx="67">
                  <v>3070.4</v>
                </pt>
                <pt idx="68">
                  <v>3070.4</v>
                </pt>
                <pt idx="69">
                  <v>2984.78</v>
                </pt>
                <pt idx="70">
                  <v>3012.12</v>
                </pt>
                <pt idx="71">
                  <v>3100.12</v>
                </pt>
                <pt idx="72">
                  <v>3100.12</v>
                </pt>
                <pt idx="73">
                  <v>3100.12</v>
                </pt>
                <pt idx="74">
                  <v>3100.12</v>
                </pt>
                <pt idx="75">
                  <v>3100.12</v>
                </pt>
                <pt idx="76">
                  <v>3124.91</v>
                </pt>
                <pt idx="77">
                  <v>3131.11</v>
                </pt>
                <pt idx="78">
                  <v>3135.65</v>
                </pt>
                <pt idx="79">
                  <v>3163.49</v>
                </pt>
                <pt idx="80">
                  <v>3163.49</v>
                </pt>
                <pt idx="81">
                  <v>3163.49</v>
                </pt>
                <pt idx="82">
                  <v>3144.72</v>
                </pt>
                <pt idx="83">
                  <v>3139.76</v>
                </pt>
                <pt idx="84">
                  <v>3187.97</v>
                </pt>
                <pt idx="85">
                  <v>3187.97</v>
                </pt>
                <pt idx="86">
                  <v>3170.64</v>
                </pt>
                <pt idx="87">
                  <v>3170.64</v>
                </pt>
                <pt idx="88">
                  <v>3170.64</v>
                </pt>
                <pt idx="89">
                  <v>3142.2</v>
                </pt>
                <pt idx="90">
                  <v>3165.09</v>
                </pt>
                <pt idx="91">
                  <v>3085.6</v>
                </pt>
                <pt idx="92">
                  <v>3068.34</v>
                </pt>
                <pt idx="93">
                  <v>3061.04</v>
                </pt>
                <pt idx="94">
                  <v>3061.04</v>
                </pt>
                <pt idx="95">
                  <v>3061.04</v>
                </pt>
                <pt idx="96">
                  <v>3049.47</v>
                </pt>
                <pt idx="97">
                  <v>2989.71</v>
                </pt>
                <pt idx="98">
                  <v>2989.71</v>
                </pt>
                <pt idx="99">
                  <v>2989.71</v>
                </pt>
                <pt idx="100">
                  <v>3002.8</v>
                </pt>
                <pt idx="101">
                  <v>3002.8</v>
                </pt>
                <pt idx="102">
                  <v>3002.8</v>
                </pt>
                <pt idx="103">
                  <v>2984.02</v>
                </pt>
                <pt idx="104">
                  <v>2982.29</v>
                </pt>
                <pt idx="105">
                  <v>2964.56</v>
                </pt>
                <pt idx="106">
                  <v>3000.47</v>
                </pt>
                <pt idx="107">
                  <v>2997.2</v>
                </pt>
                <pt idx="108">
                  <v>2997.2</v>
                </pt>
                <pt idx="109">
                  <v>2997.2</v>
                </pt>
                <pt idx="110">
                  <v>3019.44</v>
                </pt>
                <pt idx="111">
                  <v>2988.06</v>
                </pt>
                <pt idx="112">
                  <v>2989.14</v>
                </pt>
                <pt idx="113">
                  <v>2996.03</v>
                </pt>
                <pt idx="114">
                  <v>2996.6</v>
                </pt>
                <pt idx="115">
                  <v>2996.6</v>
                </pt>
                <pt idx="116">
                  <v>2996.6</v>
                </pt>
                <pt idx="117">
                  <v>2996.6</v>
                </pt>
                <pt idx="118">
                  <v>2992.81</v>
                </pt>
                <pt idx="119">
                  <v>3019.72</v>
                </pt>
                <pt idx="120">
                  <v>3000.71</v>
                </pt>
                <pt idx="121">
                  <v>3000.71</v>
                </pt>
                <pt idx="122">
                  <v>3000.71</v>
                </pt>
                <pt idx="123">
                  <v>3000.71</v>
                </pt>
                <pt idx="124">
                  <v>3000.71</v>
                </pt>
                <pt idx="125">
                  <v>2981.06</v>
                </pt>
                <pt idx="126">
                  <v>2965.36</v>
                </pt>
                <pt idx="127">
                  <v>2941.08</v>
                </pt>
                <pt idx="128">
                  <v>2919.01</v>
                </pt>
                <pt idx="129">
                  <v>2919.01</v>
                </pt>
                <pt idx="130">
                  <v>2919.01</v>
                </pt>
                <pt idx="131">
                  <v>2919.01</v>
                </pt>
                <pt idx="132">
                  <v>2949.6</v>
                </pt>
                <pt idx="133">
                  <v>2980.8</v>
                </pt>
                <pt idx="134">
                  <v>2930.19</v>
                </pt>
                <pt idx="135">
                  <v>2935.96</v>
                </pt>
                <pt idx="136">
                  <v>2935.96</v>
                </pt>
                <pt idx="137">
                  <v>2935.96</v>
                </pt>
                <pt idx="138">
                  <v>2935.96</v>
                </pt>
                <pt idx="139">
                  <v>2924.77</v>
                </pt>
                <pt idx="140">
                  <v>2934.58</v>
                </pt>
                <pt idx="141">
                  <v>2938.24</v>
                </pt>
                <pt idx="142">
                  <v>2927.91</v>
                </pt>
                <pt idx="143">
                  <v>2927.91</v>
                </pt>
                <pt idx="144">
                  <v>2927.91</v>
                </pt>
                <pt idx="145">
                  <v>2908.53</v>
                </pt>
                <pt idx="146">
                  <v>2932.01</v>
                </pt>
                <pt idx="147">
                  <v>2927.53</v>
                </pt>
                <pt idx="148">
                  <v>2936.72</v>
                </pt>
                <pt idx="149">
                  <v>2930.17</v>
                </pt>
                <pt idx="150">
                  <v>2930.17</v>
                </pt>
                <pt idx="151">
                  <v>2930.17</v>
                </pt>
                <pt idx="152">
                  <v>2936.66</v>
                </pt>
                <pt idx="153">
                  <v>2921.9</v>
                </pt>
                <pt idx="154">
                  <v>2906.78</v>
                </pt>
                <pt idx="155">
                  <v>2882.2</v>
                </pt>
                <pt idx="156">
                  <v>2855.8</v>
                </pt>
                <pt idx="157">
                  <v>2855.8</v>
                </pt>
                <pt idx="158">
                  <v>2855.8</v>
                </pt>
                <pt idx="159">
                  <v>2853.99</v>
                </pt>
                <pt idx="160">
                  <v>2867.76</v>
                </pt>
                <pt idx="161">
                  <v>2879.49</v>
                </pt>
                <pt idx="162">
                  <v>2862.63</v>
                </pt>
                <pt idx="163">
                  <v>2851.98</v>
                </pt>
                <pt idx="164">
                  <v>2851.98</v>
                </pt>
                <pt idx="165">
                  <v>2851.98</v>
                </pt>
                <pt idx="166">
                  <v>2875.46</v>
                </pt>
                <pt idx="167">
                  <v>2867.64</v>
                </pt>
                <pt idx="168">
                  <v>2876.03</v>
                </pt>
                <pt idx="169">
                  <v>2875.68</v>
                </pt>
                <pt idx="170">
                  <v>2902.81</v>
                </pt>
                <pt idx="171">
                  <v>2902.81</v>
                </pt>
                <pt idx="172">
                  <v>2902.81</v>
                </pt>
                <pt idx="173">
                  <v>2902.81</v>
                </pt>
                <pt idx="174">
                  <v>2902.68</v>
                </pt>
                <pt idx="175">
                  <v>2893.55</v>
                </pt>
                <pt idx="176">
                  <v>2871.67</v>
                </pt>
                <pt idx="177">
                  <v>2886.52</v>
                </pt>
                <pt idx="178">
                  <v>2886.52</v>
                </pt>
                <pt idx="179">
                  <v>2886.52</v>
                </pt>
                <pt idx="180">
                  <v>2896.27</v>
                </pt>
                <pt idx="181">
                  <v>2919.17</v>
                </pt>
                <pt idx="182">
                  <v>2935.75</v>
                </pt>
                <pt idx="183">
                  <v>2960.91</v>
                </pt>
                <pt idx="184">
                  <v>2977.43</v>
                </pt>
                <pt idx="185">
                  <v>2977.43</v>
                </pt>
                <pt idx="186">
                  <v>2977.43</v>
                </pt>
                <pt idx="187">
                  <v>2966.67</v>
                </pt>
                <pt idx="188">
                  <v>2972.44</v>
                </pt>
                <pt idx="189">
                  <v>2987.88</v>
                </pt>
                <pt idx="190">
                  <v>3004.43</v>
                </pt>
                <pt idx="191">
                  <v>2980.83</v>
                </pt>
                <pt idx="192">
                  <v>2980.83</v>
                </pt>
                <pt idx="193">
                  <v>2980.83</v>
                </pt>
                <pt idx="194">
                  <v>2987.93</v>
                </pt>
                <pt idx="195">
                  <v>2997.73</v>
                </pt>
                <pt idx="196">
                  <v>2972.61</v>
                </pt>
                <pt idx="197">
                  <v>2923.96</v>
                </pt>
                <pt idx="198">
                  <v>2912.53</v>
                </pt>
                <pt idx="199">
                  <v>2912.53</v>
                </pt>
                <pt idx="200">
                  <v>2912.53</v>
                </pt>
                <pt idx="201">
                  <v>2912.53</v>
                </pt>
                <pt idx="202">
                  <v>2904.87</v>
                </pt>
                <pt idx="203">
                  <v>2936.82</v>
                </pt>
                <pt idx="204">
                  <v>2921.25</v>
                </pt>
                <pt idx="205">
                  <v>2899.94</v>
                </pt>
                <pt idx="206">
                  <v>2899.94</v>
                </pt>
                <pt idx="207">
                  <v>2899.94</v>
                </pt>
                <pt idx="208">
                  <v>2913.48</v>
                </pt>
                <pt idx="209">
                  <v>2911.99</v>
                </pt>
                <pt idx="210">
                  <v>2888.02</v>
                </pt>
                <pt idx="211">
                  <v>2880.24</v>
                </pt>
                <pt idx="212">
                  <v>2885.57</v>
                </pt>
                <pt idx="213">
                  <v>2885.57</v>
                </pt>
                <pt idx="214">
                  <v>2885.57</v>
                </pt>
                <pt idx="215">
                  <v>2866.87</v>
                </pt>
                <pt idx="216">
                  <v>2869.32</v>
                </pt>
                <pt idx="217">
                  <v>2857.65</v>
                </pt>
                <pt idx="218">
                  <v>2853.1</v>
                </pt>
                <pt idx="219">
                  <v>2858</v>
                </pt>
                <pt idx="220">
                  <v>2858</v>
                </pt>
                <pt idx="221">
                  <v>2858</v>
                </pt>
                <pt idx="222">
                  <v>2867.13</v>
                </pt>
                <pt idx="223">
                  <v>2868.6</v>
                </pt>
                <pt idx="224">
                  <v>2872.55</v>
                </pt>
                <pt idx="225">
                  <v>2872.55</v>
                </pt>
                <pt idx="226">
                  <v>2872.55</v>
                </pt>
                <pt idx="227">
                  <v>2872.55</v>
                </pt>
                <pt idx="228">
                  <v>2872.55</v>
                </pt>
                <pt idx="229">
                  <v>2854.89</v>
                </pt>
                <pt idx="230">
                  <v>2837.9</v>
                </pt>
                <pt idx="231">
                  <v>2856.48</v>
                </pt>
                <pt idx="232">
                  <v>2863.39</v>
                </pt>
                <pt idx="233">
                  <v>2868.89</v>
                </pt>
                <pt idx="234">
                  <v>2868.89</v>
                </pt>
                <pt idx="235">
                  <v>2868.89</v>
                </pt>
                <pt idx="236">
                  <v>2871.98</v>
                </pt>
                <pt idx="237">
                  <v>2899.13</v>
                </pt>
                <pt idx="238">
                  <v>2928.07</v>
                </pt>
                <pt idx="239">
                  <v>2944.31</v>
                </pt>
                <pt idx="240">
                  <v>2947.85</v>
                </pt>
                <pt idx="241">
                  <v>2947.85</v>
                </pt>
                <pt idx="242">
                  <v>2947.85</v>
                </pt>
                <pt idx="243">
                  <v>2947.85</v>
                </pt>
                <pt idx="244">
                  <v>2945.53</v>
                </pt>
                <pt idx="245">
                  <v>2930.17</v>
                </pt>
                <pt idx="246">
                  <v>2967.44</v>
                </pt>
                <pt idx="247">
                  <v>2961.78</v>
                </pt>
                <pt idx="248">
                  <v>2961.78</v>
                </pt>
                <pt idx="249">
                  <v>2961.78</v>
                </pt>
                <pt idx="250">
                  <v>2959.26</v>
                </pt>
                <pt idx="251">
                  <v>2967.24</v>
                </pt>
                <pt idx="252">
                  <v>2949.35</v>
                </pt>
                <pt idx="253">
                  <v>2933.92</v>
                </pt>
                <pt idx="254">
                  <v>2918.69</v>
                </pt>
                <pt idx="255">
                  <v>2918.69</v>
                </pt>
                <pt idx="256">
                  <v>2918.69</v>
                </pt>
                <pt idx="257">
                  <v>2883.87</v>
                </pt>
                <pt idx="258">
                  <v>2873.22</v>
                </pt>
                <pt idx="259">
                  <v>2893.4</v>
                </pt>
                <pt idx="260">
                  <v>2932.16</v>
                </pt>
                <pt idx="261">
                  <v>2889.45</v>
                </pt>
                <pt idx="262">
                  <v>2889.45</v>
                </pt>
                <pt idx="263">
                  <v>2889.45</v>
                </pt>
                <pt idx="264">
                  <v>2895.12</v>
                </pt>
                <pt idx="265">
                  <v>2904.61</v>
                </pt>
                <pt idx="266">
                  <v>2905.29</v>
                </pt>
                <pt idx="267">
                  <v>2911.66</v>
                </pt>
                <pt idx="268">
                  <v>2913.47</v>
                </pt>
                <pt idx="269">
                  <v>2913.47</v>
                </pt>
                <pt idx="270">
                  <v>2913.47</v>
                </pt>
                <pt idx="271">
                  <v>2913.47</v>
                </pt>
                <pt idx="272">
                  <v>2920.42</v>
                </pt>
                <pt idx="273">
                  <v>2921</v>
                </pt>
                <pt idx="274">
                  <v>2895.73</v>
                </pt>
                <pt idx="275">
                  <v>2894.72</v>
                </pt>
                <pt idx="276">
                  <v>2894.72</v>
                </pt>
                <pt idx="277">
                  <v>2894.72</v>
                </pt>
                <pt idx="278">
                  <v>2895.85</v>
                </pt>
                <pt idx="279">
                  <v>2893.76</v>
                </pt>
                <pt idx="280">
                  <v>2907.1</v>
                </pt>
                <pt idx="281">
                  <v>2919.82</v>
                </pt>
                <pt idx="282">
                  <v>2919.58</v>
                </pt>
                <pt idx="283">
                  <v>2919.58</v>
                </pt>
                <pt idx="284">
                  <v>2919.58</v>
                </pt>
                <pt idx="285">
                  <v>2929.2</v>
                </pt>
                <pt idx="286">
                  <v>2933.13</v>
                </pt>
                <pt idx="287">
                  <v>2924.75</v>
                </pt>
                <pt idx="288">
                  <v>2953.83</v>
                </pt>
                <pt idx="289">
                  <v>2961.68</v>
                </pt>
                <pt idx="290">
                  <v>2961.68</v>
                </pt>
                <pt idx="291">
                  <v>2961.68</v>
                </pt>
                <pt idx="292">
                  <v>2961.68</v>
                </pt>
                <pt idx="293">
                  <v>3029.53</v>
                </pt>
                <pt idx="294">
                  <v>3053.9</v>
                </pt>
                <pt idx="295">
                  <v>3035.83</v>
                </pt>
                <pt idx="296">
                  <v>3010.68</v>
                </pt>
                <pt idx="297">
                  <v>3010.68</v>
                </pt>
                <pt idx="298">
                  <v>3010.68</v>
                </pt>
                <pt idx="299">
                  <v>3010.68</v>
                </pt>
                <pt idx="300">
                  <v>3025.28</v>
                </pt>
                <pt idx="301">
                  <v>3023.64</v>
                </pt>
                <pt idx="302">
                  <v>3038.26</v>
                </pt>
                <pt idx="303">
                  <v>3050.43</v>
                </pt>
                <pt idx="304">
                  <v>3050.43</v>
                </pt>
                <pt idx="305">
                  <v>3050.43</v>
                </pt>
                <pt idx="306">
                  <v>3050.43</v>
                </pt>
                <pt idx="307">
                  <v>3050.43</v>
                </pt>
                <pt idx="308">
                  <v>3068.93</v>
                </pt>
                <pt idx="309">
                  <v>3084.19</v>
                </pt>
                <pt idx="310">
                  <v>3092.65</v>
                </pt>
                <pt idx="311">
                  <v>3092.65</v>
                </pt>
                <pt idx="312">
                  <v>3092.65</v>
                </pt>
                <pt idx="313">
                  <v>3067.33</v>
                </pt>
                <pt idx="314">
                  <v>3067.73</v>
                </pt>
                <pt idx="315">
                  <v>3052.3</v>
                </pt>
                <pt idx="316">
                  <v>3043.6</v>
                </pt>
                <pt idx="317">
                  <v>3019.56</v>
                </pt>
                <pt idx="318">
                  <v>3019.56</v>
                </pt>
                <pt idx="319">
                  <v>3019.56</v>
                </pt>
                <pt idx="320">
                  <v>3030.6</v>
                </pt>
                <pt idx="321">
                  <v>3013.26</v>
                </pt>
                <pt idx="322">
                  <v>3010</v>
                </pt>
                <pt idx="323">
                  <v>3010</v>
                </pt>
                <pt idx="324">
                  <v>3010.77</v>
                </pt>
                <pt idx="325">
                  <v>3010.77</v>
                </pt>
                <pt idx="326">
                  <v>3010.77</v>
                </pt>
                <pt idx="327">
                  <v>3023.67</v>
                </pt>
                <pt idx="328">
                  <v>3026.55</v>
                </pt>
                <pt idx="329">
                  <v>3026.22</v>
                </pt>
                <pt idx="330">
                  <v>3002.94</v>
                </pt>
                <pt idx="331">
                  <v>2995.23</v>
                </pt>
                <pt idx="332">
                  <v>2995.23</v>
                </pt>
                <pt idx="333">
                  <v>2995.23</v>
                </pt>
                <pt idx="334">
                  <v>2997.59</v>
                </pt>
                <pt idx="335">
                  <v>2973.03</v>
                </pt>
                <pt idx="336">
                  <v>2964.66</v>
                </pt>
                <pt idx="337">
                  <v>2954.54</v>
                </pt>
                <pt idx="338">
                  <v>2974.39</v>
                </pt>
                <pt idx="339">
                  <v>2974.39</v>
                </pt>
                <pt idx="340">
                  <v>2974.39</v>
                </pt>
                <pt idx="341">
                  <v>2974.39</v>
                </pt>
                <pt idx="342">
                  <v>2994.62</v>
                </pt>
                <pt idx="343">
                  <v>3011.14</v>
                </pt>
                <pt idx="344">
                  <v>2994.85</v>
                </pt>
                <pt idx="345">
                  <v>2984.99</v>
                </pt>
                <pt idx="346">
                  <v>2984.99</v>
                </pt>
                <pt idx="347">
                  <v>2984.99</v>
                </pt>
                <pt idx="348">
                  <v>2966.54</v>
                </pt>
                <pt idx="349">
                  <v>2974.7</v>
                </pt>
                <pt idx="350">
                  <v>2967.32</v>
                </pt>
                <pt idx="351">
                  <v>2980.03</v>
                </pt>
                <pt idx="352">
                  <v>2994.39</v>
                </pt>
                <pt idx="353">
                  <v>2994.39</v>
                </pt>
                <pt idx="354">
                  <v>2994.39</v>
                </pt>
                <pt idx="355">
                  <v>2994.39</v>
                </pt>
                <pt idx="356">
                  <v>2986.83</v>
                </pt>
                <pt idx="357">
                  <v>2986.88</v>
                </pt>
                <pt idx="358">
                  <v>2972.98</v>
                </pt>
                <pt idx="359">
                  <v>2933.96</v>
                </pt>
                <pt idx="360">
                  <v>2933.96</v>
                </pt>
                <pt idx="361">
                  <v>2933.96</v>
                </pt>
                <pt idx="362">
                  <v>2934.23</v>
                </pt>
                <pt idx="363">
                  <v>2940.35</v>
                </pt>
                <pt idx="364">
                  <v>2937.09</v>
                </pt>
              </numCache>
            </numRef>
          </val>
          <smooth val="0"/>
        </ser>
        <ser>
          <idx val="1"/>
          <order val="1"/>
          <tx>
            <strRef>
              <f>Data!$C$4</f>
              <strCache>
                <ptCount val="1"/>
                <pt idx="0">
                  <v>FY18</v>
                </pt>
              </strCache>
            </strRef>
          </tx>
          <spPr>
            <a:ln xmlns:a="http://schemas.openxmlformats.org/drawingml/2006/main" cap="rnd" w="34925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Data!$A$737:$A$1101</f>
              <numCache>
                <formatCode>m/d/yyyy</formatCode>
                <ptCount val="365"/>
                <pt idx="0">
                  <v>42614</v>
                </pt>
                <pt idx="1">
                  <v>42615</v>
                </pt>
                <pt idx="2">
                  <v>42616</v>
                </pt>
                <pt idx="3">
                  <v>42617</v>
                </pt>
                <pt idx="4">
                  <v>42618</v>
                </pt>
                <pt idx="5">
                  <v>42619</v>
                </pt>
                <pt idx="6">
                  <v>42620</v>
                </pt>
                <pt idx="7">
                  <v>42621</v>
                </pt>
                <pt idx="8">
                  <v>42622</v>
                </pt>
                <pt idx="9">
                  <v>42623</v>
                </pt>
                <pt idx="10">
                  <v>42624</v>
                </pt>
                <pt idx="11">
                  <v>42625</v>
                </pt>
                <pt idx="12">
                  <v>42626</v>
                </pt>
                <pt idx="13">
                  <v>42627</v>
                </pt>
                <pt idx="14">
                  <v>42628</v>
                </pt>
                <pt idx="15">
                  <v>42629</v>
                </pt>
                <pt idx="16">
                  <v>42630</v>
                </pt>
                <pt idx="17">
                  <v>42631</v>
                </pt>
                <pt idx="18">
                  <v>42632</v>
                </pt>
                <pt idx="19">
                  <v>42633</v>
                </pt>
                <pt idx="20">
                  <v>42634</v>
                </pt>
                <pt idx="21">
                  <v>42635</v>
                </pt>
                <pt idx="22">
                  <v>42636</v>
                </pt>
                <pt idx="23">
                  <v>42637</v>
                </pt>
                <pt idx="24">
                  <v>42638</v>
                </pt>
                <pt idx="25">
                  <v>42639</v>
                </pt>
                <pt idx="26">
                  <v>42640</v>
                </pt>
                <pt idx="27">
                  <v>42641</v>
                </pt>
                <pt idx="28">
                  <v>42642</v>
                </pt>
                <pt idx="29">
                  <v>42643</v>
                </pt>
                <pt idx="30">
                  <v>42644</v>
                </pt>
                <pt idx="31">
                  <v>42645</v>
                </pt>
                <pt idx="32">
                  <v>42646</v>
                </pt>
                <pt idx="33">
                  <v>42647</v>
                </pt>
                <pt idx="34">
                  <v>42648</v>
                </pt>
                <pt idx="35">
                  <v>42649</v>
                </pt>
                <pt idx="36">
                  <v>42650</v>
                </pt>
                <pt idx="37">
                  <v>42651</v>
                </pt>
                <pt idx="38">
                  <v>42652</v>
                </pt>
                <pt idx="39">
                  <v>42653</v>
                </pt>
                <pt idx="40">
                  <v>42654</v>
                </pt>
                <pt idx="41">
                  <v>42655</v>
                </pt>
                <pt idx="42">
                  <v>42656</v>
                </pt>
                <pt idx="43">
                  <v>42657</v>
                </pt>
                <pt idx="44">
                  <v>42658</v>
                </pt>
                <pt idx="45">
                  <v>42659</v>
                </pt>
                <pt idx="46">
                  <v>42660</v>
                </pt>
                <pt idx="47">
                  <v>42661</v>
                </pt>
                <pt idx="48">
                  <v>42662</v>
                </pt>
                <pt idx="49">
                  <v>42663</v>
                </pt>
                <pt idx="50">
                  <v>42664</v>
                </pt>
                <pt idx="51">
                  <v>42665</v>
                </pt>
                <pt idx="52">
                  <v>42666</v>
                </pt>
                <pt idx="53">
                  <v>42667</v>
                </pt>
                <pt idx="54">
                  <v>42668</v>
                </pt>
                <pt idx="55">
                  <v>42669</v>
                </pt>
                <pt idx="56">
                  <v>42670</v>
                </pt>
                <pt idx="57">
                  <v>42671</v>
                </pt>
                <pt idx="58">
                  <v>42672</v>
                </pt>
                <pt idx="59">
                  <v>42673</v>
                </pt>
                <pt idx="60">
                  <v>42674</v>
                </pt>
                <pt idx="61">
                  <v>42675</v>
                </pt>
                <pt idx="62">
                  <v>42676</v>
                </pt>
                <pt idx="63">
                  <v>42677</v>
                </pt>
                <pt idx="64">
                  <v>42678</v>
                </pt>
                <pt idx="65">
                  <v>42679</v>
                </pt>
                <pt idx="66">
                  <v>42680</v>
                </pt>
                <pt idx="67">
                  <v>42681</v>
                </pt>
                <pt idx="68">
                  <v>42682</v>
                </pt>
                <pt idx="69">
                  <v>42683</v>
                </pt>
                <pt idx="70">
                  <v>42684</v>
                </pt>
                <pt idx="71">
                  <v>42685</v>
                </pt>
                <pt idx="72">
                  <v>42686</v>
                </pt>
                <pt idx="73">
                  <v>42687</v>
                </pt>
                <pt idx="74">
                  <v>42688</v>
                </pt>
                <pt idx="75">
                  <v>42689</v>
                </pt>
                <pt idx="76">
                  <v>42690</v>
                </pt>
                <pt idx="77">
                  <v>42691</v>
                </pt>
                <pt idx="78">
                  <v>42692</v>
                </pt>
                <pt idx="79">
                  <v>42693</v>
                </pt>
                <pt idx="80">
                  <v>42694</v>
                </pt>
                <pt idx="81">
                  <v>42695</v>
                </pt>
                <pt idx="82">
                  <v>42696</v>
                </pt>
                <pt idx="83">
                  <v>42697</v>
                </pt>
                <pt idx="84">
                  <v>42698</v>
                </pt>
                <pt idx="85">
                  <v>42699</v>
                </pt>
                <pt idx="86">
                  <v>42700</v>
                </pt>
                <pt idx="87">
                  <v>42701</v>
                </pt>
                <pt idx="88">
                  <v>42702</v>
                </pt>
                <pt idx="89">
                  <v>42703</v>
                </pt>
                <pt idx="90">
                  <v>42704</v>
                </pt>
                <pt idx="91">
                  <v>42705</v>
                </pt>
                <pt idx="92">
                  <v>42706</v>
                </pt>
                <pt idx="93">
                  <v>42707</v>
                </pt>
                <pt idx="94">
                  <v>42708</v>
                </pt>
                <pt idx="95">
                  <v>42709</v>
                </pt>
                <pt idx="96">
                  <v>42710</v>
                </pt>
                <pt idx="97">
                  <v>42711</v>
                </pt>
                <pt idx="98">
                  <v>42712</v>
                </pt>
                <pt idx="99">
                  <v>42713</v>
                </pt>
                <pt idx="100">
                  <v>42714</v>
                </pt>
                <pt idx="101">
                  <v>42715</v>
                </pt>
                <pt idx="102">
                  <v>42716</v>
                </pt>
                <pt idx="103">
                  <v>42717</v>
                </pt>
                <pt idx="104">
                  <v>42718</v>
                </pt>
                <pt idx="105">
                  <v>42719</v>
                </pt>
                <pt idx="106">
                  <v>42720</v>
                </pt>
                <pt idx="107">
                  <v>42721</v>
                </pt>
                <pt idx="108">
                  <v>42722</v>
                </pt>
                <pt idx="109">
                  <v>42723</v>
                </pt>
                <pt idx="110">
                  <v>42724</v>
                </pt>
                <pt idx="111">
                  <v>42725</v>
                </pt>
                <pt idx="112">
                  <v>42726</v>
                </pt>
                <pt idx="113">
                  <v>42727</v>
                </pt>
                <pt idx="114">
                  <v>42728</v>
                </pt>
                <pt idx="115">
                  <v>42729</v>
                </pt>
                <pt idx="116">
                  <v>42730</v>
                </pt>
                <pt idx="117">
                  <v>42731</v>
                </pt>
                <pt idx="118">
                  <v>42732</v>
                </pt>
                <pt idx="119">
                  <v>42733</v>
                </pt>
                <pt idx="120">
                  <v>42734</v>
                </pt>
                <pt idx="121">
                  <v>42735</v>
                </pt>
                <pt idx="122">
                  <v>42736</v>
                </pt>
                <pt idx="123">
                  <v>42737</v>
                </pt>
                <pt idx="124">
                  <v>42738</v>
                </pt>
                <pt idx="125">
                  <v>42739</v>
                </pt>
                <pt idx="126">
                  <v>42740</v>
                </pt>
                <pt idx="127">
                  <v>42741</v>
                </pt>
                <pt idx="128">
                  <v>42742</v>
                </pt>
                <pt idx="129">
                  <v>42743</v>
                </pt>
                <pt idx="130">
                  <v>42744</v>
                </pt>
                <pt idx="131">
                  <v>42745</v>
                </pt>
                <pt idx="132">
                  <v>42746</v>
                </pt>
                <pt idx="133">
                  <v>42747</v>
                </pt>
                <pt idx="134">
                  <v>42748</v>
                </pt>
                <pt idx="135">
                  <v>42749</v>
                </pt>
                <pt idx="136">
                  <v>42750</v>
                </pt>
                <pt idx="137">
                  <v>42751</v>
                </pt>
                <pt idx="138">
                  <v>42752</v>
                </pt>
                <pt idx="139">
                  <v>42753</v>
                </pt>
                <pt idx="140">
                  <v>42754</v>
                </pt>
                <pt idx="141">
                  <v>42755</v>
                </pt>
                <pt idx="142">
                  <v>42756</v>
                </pt>
                <pt idx="143">
                  <v>42757</v>
                </pt>
                <pt idx="144">
                  <v>42758</v>
                </pt>
                <pt idx="145">
                  <v>42759</v>
                </pt>
                <pt idx="146">
                  <v>42760</v>
                </pt>
                <pt idx="147">
                  <v>42761</v>
                </pt>
                <pt idx="148">
                  <v>42762</v>
                </pt>
                <pt idx="149">
                  <v>42763</v>
                </pt>
                <pt idx="150">
                  <v>42764</v>
                </pt>
                <pt idx="151">
                  <v>42765</v>
                </pt>
                <pt idx="152">
                  <v>42766</v>
                </pt>
                <pt idx="153">
                  <v>42767</v>
                </pt>
                <pt idx="154">
                  <v>42768</v>
                </pt>
                <pt idx="155">
                  <v>42769</v>
                </pt>
                <pt idx="156">
                  <v>42770</v>
                </pt>
                <pt idx="157">
                  <v>42771</v>
                </pt>
                <pt idx="158">
                  <v>42772</v>
                </pt>
                <pt idx="159">
                  <v>42773</v>
                </pt>
                <pt idx="160">
                  <v>42774</v>
                </pt>
                <pt idx="161">
                  <v>42775</v>
                </pt>
                <pt idx="162">
                  <v>42776</v>
                </pt>
                <pt idx="163">
                  <v>42777</v>
                </pt>
                <pt idx="164">
                  <v>42778</v>
                </pt>
                <pt idx="165">
                  <v>42779</v>
                </pt>
                <pt idx="166">
                  <v>42780</v>
                </pt>
                <pt idx="167">
                  <v>42781</v>
                </pt>
                <pt idx="168">
                  <v>42782</v>
                </pt>
                <pt idx="169">
                  <v>42783</v>
                </pt>
                <pt idx="170">
                  <v>42784</v>
                </pt>
                <pt idx="171">
                  <v>42785</v>
                </pt>
                <pt idx="172">
                  <v>42786</v>
                </pt>
                <pt idx="173">
                  <v>42787</v>
                </pt>
                <pt idx="174">
                  <v>42788</v>
                </pt>
                <pt idx="175">
                  <v>42789</v>
                </pt>
                <pt idx="176">
                  <v>42790</v>
                </pt>
                <pt idx="177">
                  <v>42791</v>
                </pt>
                <pt idx="178">
                  <v>42792</v>
                </pt>
                <pt idx="179">
                  <v>42793</v>
                </pt>
                <pt idx="180">
                  <v>42794</v>
                </pt>
                <pt idx="181">
                  <v>42795</v>
                </pt>
                <pt idx="182">
                  <v>42796</v>
                </pt>
                <pt idx="183">
                  <v>42797</v>
                </pt>
                <pt idx="184">
                  <v>42798</v>
                </pt>
                <pt idx="185">
                  <v>42799</v>
                </pt>
                <pt idx="186">
                  <v>42800</v>
                </pt>
                <pt idx="187">
                  <v>42801</v>
                </pt>
                <pt idx="188">
                  <v>42802</v>
                </pt>
                <pt idx="189">
                  <v>42803</v>
                </pt>
                <pt idx="190">
                  <v>42804</v>
                </pt>
                <pt idx="191">
                  <v>42805</v>
                </pt>
                <pt idx="192">
                  <v>42806</v>
                </pt>
                <pt idx="193">
                  <v>42807</v>
                </pt>
                <pt idx="194">
                  <v>42808</v>
                </pt>
                <pt idx="195">
                  <v>42809</v>
                </pt>
                <pt idx="196">
                  <v>42810</v>
                </pt>
                <pt idx="197">
                  <v>42811</v>
                </pt>
                <pt idx="198">
                  <v>42812</v>
                </pt>
                <pt idx="199">
                  <v>42813</v>
                </pt>
                <pt idx="200">
                  <v>42814</v>
                </pt>
                <pt idx="201">
                  <v>42815</v>
                </pt>
                <pt idx="202">
                  <v>42816</v>
                </pt>
                <pt idx="203">
                  <v>42817</v>
                </pt>
                <pt idx="204">
                  <v>42818</v>
                </pt>
                <pt idx="205">
                  <v>42819</v>
                </pt>
                <pt idx="206">
                  <v>42820</v>
                </pt>
                <pt idx="207">
                  <v>42821</v>
                </pt>
                <pt idx="208">
                  <v>42822</v>
                </pt>
                <pt idx="209">
                  <v>42823</v>
                </pt>
                <pt idx="210">
                  <v>42824</v>
                </pt>
                <pt idx="211">
                  <v>42825</v>
                </pt>
                <pt idx="212">
                  <v>42826</v>
                </pt>
                <pt idx="213">
                  <v>42827</v>
                </pt>
                <pt idx="214">
                  <v>42828</v>
                </pt>
                <pt idx="215">
                  <v>42829</v>
                </pt>
                <pt idx="216">
                  <v>42830</v>
                </pt>
                <pt idx="217">
                  <v>42831</v>
                </pt>
                <pt idx="218">
                  <v>42832</v>
                </pt>
                <pt idx="219">
                  <v>42833</v>
                </pt>
                <pt idx="220">
                  <v>42834</v>
                </pt>
                <pt idx="221">
                  <v>42835</v>
                </pt>
                <pt idx="222">
                  <v>42836</v>
                </pt>
                <pt idx="223">
                  <v>42837</v>
                </pt>
                <pt idx="224">
                  <v>42838</v>
                </pt>
                <pt idx="225">
                  <v>42839</v>
                </pt>
                <pt idx="226">
                  <v>42840</v>
                </pt>
                <pt idx="227">
                  <v>42841</v>
                </pt>
                <pt idx="228">
                  <v>42842</v>
                </pt>
                <pt idx="229">
                  <v>42843</v>
                </pt>
                <pt idx="230">
                  <v>42844</v>
                </pt>
                <pt idx="231">
                  <v>42845</v>
                </pt>
                <pt idx="232">
                  <v>42846</v>
                </pt>
                <pt idx="233">
                  <v>42847</v>
                </pt>
                <pt idx="234">
                  <v>42848</v>
                </pt>
                <pt idx="235">
                  <v>42849</v>
                </pt>
                <pt idx="236">
                  <v>42850</v>
                </pt>
                <pt idx="237">
                  <v>42851</v>
                </pt>
                <pt idx="238">
                  <v>42852</v>
                </pt>
                <pt idx="239">
                  <v>42853</v>
                </pt>
                <pt idx="240">
                  <v>42854</v>
                </pt>
                <pt idx="241">
                  <v>42855</v>
                </pt>
                <pt idx="242">
                  <v>42856</v>
                </pt>
                <pt idx="243">
                  <v>42857</v>
                </pt>
                <pt idx="244">
                  <v>42858</v>
                </pt>
                <pt idx="245">
                  <v>42859</v>
                </pt>
                <pt idx="246">
                  <v>42860</v>
                </pt>
                <pt idx="247">
                  <v>42861</v>
                </pt>
                <pt idx="248">
                  <v>42862</v>
                </pt>
                <pt idx="249">
                  <v>42863</v>
                </pt>
                <pt idx="250">
                  <v>42864</v>
                </pt>
                <pt idx="251">
                  <v>42865</v>
                </pt>
                <pt idx="252">
                  <v>42866</v>
                </pt>
                <pt idx="253">
                  <v>42867</v>
                </pt>
                <pt idx="254">
                  <v>42868</v>
                </pt>
                <pt idx="255">
                  <v>42869</v>
                </pt>
                <pt idx="256">
                  <v>42870</v>
                </pt>
                <pt idx="257">
                  <v>42871</v>
                </pt>
                <pt idx="258">
                  <v>42872</v>
                </pt>
                <pt idx="259">
                  <v>42873</v>
                </pt>
                <pt idx="260">
                  <v>42874</v>
                </pt>
                <pt idx="261">
                  <v>42875</v>
                </pt>
                <pt idx="262">
                  <v>42876</v>
                </pt>
                <pt idx="263">
                  <v>42877</v>
                </pt>
                <pt idx="264">
                  <v>42878</v>
                </pt>
                <pt idx="265">
                  <v>42879</v>
                </pt>
                <pt idx="266">
                  <v>42880</v>
                </pt>
                <pt idx="267">
                  <v>42881</v>
                </pt>
                <pt idx="268">
                  <v>42882</v>
                </pt>
                <pt idx="269">
                  <v>42883</v>
                </pt>
                <pt idx="270">
                  <v>42884</v>
                </pt>
                <pt idx="271">
                  <v>42885</v>
                </pt>
                <pt idx="272">
                  <v>42886</v>
                </pt>
                <pt idx="273">
                  <v>42887</v>
                </pt>
                <pt idx="274">
                  <v>42888</v>
                </pt>
                <pt idx="275">
                  <v>42889</v>
                </pt>
                <pt idx="276">
                  <v>42890</v>
                </pt>
                <pt idx="277">
                  <v>42891</v>
                </pt>
                <pt idx="278">
                  <v>42892</v>
                </pt>
                <pt idx="279">
                  <v>42893</v>
                </pt>
                <pt idx="280">
                  <v>42894</v>
                </pt>
                <pt idx="281">
                  <v>42895</v>
                </pt>
                <pt idx="282">
                  <v>42896</v>
                </pt>
                <pt idx="283">
                  <v>42897</v>
                </pt>
                <pt idx="284">
                  <v>42898</v>
                </pt>
                <pt idx="285">
                  <v>42899</v>
                </pt>
                <pt idx="286">
                  <v>42900</v>
                </pt>
                <pt idx="287">
                  <v>42901</v>
                </pt>
                <pt idx="288">
                  <v>42902</v>
                </pt>
                <pt idx="289">
                  <v>42903</v>
                </pt>
                <pt idx="290">
                  <v>42904</v>
                </pt>
                <pt idx="291">
                  <v>42905</v>
                </pt>
                <pt idx="292">
                  <v>42906</v>
                </pt>
                <pt idx="293">
                  <v>42907</v>
                </pt>
                <pt idx="294">
                  <v>42908</v>
                </pt>
                <pt idx="295">
                  <v>42909</v>
                </pt>
                <pt idx="296">
                  <v>42910</v>
                </pt>
                <pt idx="297">
                  <v>42911</v>
                </pt>
                <pt idx="298">
                  <v>42912</v>
                </pt>
                <pt idx="299">
                  <v>42913</v>
                </pt>
                <pt idx="300">
                  <v>42914</v>
                </pt>
                <pt idx="301">
                  <v>42915</v>
                </pt>
                <pt idx="302">
                  <v>42916</v>
                </pt>
                <pt idx="303">
                  <v>42917</v>
                </pt>
                <pt idx="304">
                  <v>42918</v>
                </pt>
                <pt idx="305">
                  <v>42919</v>
                </pt>
                <pt idx="306">
                  <v>42920</v>
                </pt>
                <pt idx="307">
                  <v>42921</v>
                </pt>
                <pt idx="308">
                  <v>42922</v>
                </pt>
                <pt idx="309">
                  <v>42923</v>
                </pt>
                <pt idx="310">
                  <v>42924</v>
                </pt>
                <pt idx="311">
                  <v>42925</v>
                </pt>
                <pt idx="312">
                  <v>42926</v>
                </pt>
                <pt idx="313">
                  <v>42927</v>
                </pt>
                <pt idx="314">
                  <v>42928</v>
                </pt>
                <pt idx="315">
                  <v>42929</v>
                </pt>
                <pt idx="316">
                  <v>42930</v>
                </pt>
                <pt idx="317">
                  <v>42931</v>
                </pt>
                <pt idx="318">
                  <v>42932</v>
                </pt>
                <pt idx="319">
                  <v>42933</v>
                </pt>
                <pt idx="320">
                  <v>42934</v>
                </pt>
                <pt idx="321">
                  <v>42935</v>
                </pt>
                <pt idx="322">
                  <v>42936</v>
                </pt>
                <pt idx="323">
                  <v>42937</v>
                </pt>
                <pt idx="324">
                  <v>42938</v>
                </pt>
                <pt idx="325">
                  <v>42939</v>
                </pt>
                <pt idx="326">
                  <v>42940</v>
                </pt>
                <pt idx="327">
                  <v>42941</v>
                </pt>
                <pt idx="328">
                  <v>42942</v>
                </pt>
                <pt idx="329">
                  <v>42943</v>
                </pt>
                <pt idx="330">
                  <v>42944</v>
                </pt>
                <pt idx="331">
                  <v>42945</v>
                </pt>
                <pt idx="332">
                  <v>42946</v>
                </pt>
                <pt idx="333">
                  <v>42947</v>
                </pt>
                <pt idx="334">
                  <v>42948</v>
                </pt>
                <pt idx="335">
                  <v>42949</v>
                </pt>
                <pt idx="336">
                  <v>42950</v>
                </pt>
                <pt idx="337">
                  <v>42951</v>
                </pt>
                <pt idx="338">
                  <v>42952</v>
                </pt>
                <pt idx="339">
                  <v>42953</v>
                </pt>
                <pt idx="340">
                  <v>42954</v>
                </pt>
                <pt idx="341">
                  <v>42955</v>
                </pt>
                <pt idx="342">
                  <v>42956</v>
                </pt>
                <pt idx="343">
                  <v>42957</v>
                </pt>
                <pt idx="344">
                  <v>42958</v>
                </pt>
                <pt idx="345">
                  <v>42959</v>
                </pt>
                <pt idx="346">
                  <v>42960</v>
                </pt>
                <pt idx="347">
                  <v>42961</v>
                </pt>
                <pt idx="348">
                  <v>42962</v>
                </pt>
                <pt idx="349">
                  <v>42963</v>
                </pt>
                <pt idx="350">
                  <v>42964</v>
                </pt>
                <pt idx="351">
                  <v>42965</v>
                </pt>
                <pt idx="352">
                  <v>42966</v>
                </pt>
                <pt idx="353">
                  <v>42967</v>
                </pt>
                <pt idx="354">
                  <v>42968</v>
                </pt>
                <pt idx="355">
                  <v>42969</v>
                </pt>
                <pt idx="356">
                  <v>42970</v>
                </pt>
                <pt idx="357">
                  <v>42971</v>
                </pt>
                <pt idx="358">
                  <v>42972</v>
                </pt>
                <pt idx="359">
                  <v>42973</v>
                </pt>
                <pt idx="360">
                  <v>42974</v>
                </pt>
                <pt idx="361">
                  <v>42975</v>
                </pt>
                <pt idx="362">
                  <v>42976</v>
                </pt>
                <pt idx="363">
                  <v>42977</v>
                </pt>
                <pt idx="364">
                  <v>42978</v>
                </pt>
              </numCache>
            </numRef>
          </cat>
          <val>
            <numRef>
              <f>Data!$D$737:$D$1101</f>
              <numCache>
                <formatCode>"$"\ #,##0.00_);[Red]\("$"\ #,##0.00\)</formatCode>
                <ptCount val="365"/>
                <pt idx="0">
                  <v>2948.09</v>
                </pt>
                <pt idx="1">
                  <v>2936.07</v>
                </pt>
                <pt idx="2">
                  <v>2936.07</v>
                </pt>
                <pt idx="3">
                  <v>2936.07</v>
                </pt>
                <pt idx="4">
                  <v>2936.07</v>
                </pt>
                <pt idx="5">
                  <v>2923.49</v>
                </pt>
                <pt idx="6">
                  <v>2919.5</v>
                </pt>
                <pt idx="7">
                  <v>2907.96</v>
                </pt>
                <pt idx="8">
                  <v>2909.15</v>
                </pt>
                <pt idx="9">
                  <v>2909.15</v>
                </pt>
                <pt idx="10">
                  <v>2909.15</v>
                </pt>
                <pt idx="11">
                  <v>2916.1</v>
                </pt>
                <pt idx="12">
                  <v>2923.03</v>
                </pt>
                <pt idx="13">
                  <v>2909.52</v>
                </pt>
                <pt idx="14">
                  <v>2905.98</v>
                </pt>
                <pt idx="15">
                  <v>2897.83</v>
                </pt>
                <pt idx="16">
                  <v>2897.83</v>
                </pt>
                <pt idx="17">
                  <v>2897.83</v>
                </pt>
                <pt idx="18">
                  <v>2906.06</v>
                </pt>
                <pt idx="19">
                  <v>2904.6</v>
                </pt>
                <pt idx="20">
                  <v>2893.18</v>
                </pt>
                <pt idx="21">
                  <v>2913.96</v>
                </pt>
                <pt idx="22">
                  <v>2900.73</v>
                </pt>
                <pt idx="23">
                  <v>2900.73</v>
                </pt>
                <pt idx="24">
                  <v>2900.73</v>
                </pt>
                <pt idx="25">
                  <v>2924.57</v>
                </pt>
                <pt idx="26">
                  <v>2930.7</v>
                </pt>
                <pt idx="27">
                  <v>2940.66</v>
                </pt>
                <pt idx="28">
                  <v>2941.07</v>
                </pt>
                <pt idx="29">
                  <v>2936.67</v>
                </pt>
                <pt idx="30">
                  <v>2936.67</v>
                </pt>
                <pt idx="31">
                  <v>2936.67</v>
                </pt>
                <pt idx="32">
                  <v>2949.33</v>
                </pt>
                <pt idx="33">
                  <v>2953.81</v>
                </pt>
                <pt idx="34">
                  <v>2945.59</v>
                </pt>
                <pt idx="35">
                  <v>2926.82</v>
                </pt>
                <pt idx="36">
                  <v>2942.19</v>
                </pt>
                <pt idx="37">
                  <v>2942.19</v>
                </pt>
                <pt idx="38">
                  <v>2942.19</v>
                </pt>
                <pt idx="39">
                  <v>2942.19</v>
                </pt>
                <pt idx="40">
                  <v>2947.06</v>
                </pt>
                <pt idx="41">
                  <v>2953.77</v>
                </pt>
                <pt idx="42">
                  <v>2949.69</v>
                </pt>
                <pt idx="43">
                  <v>2932.05</v>
                </pt>
                <pt idx="44">
                  <v>2932.05</v>
                </pt>
                <pt idx="45">
                  <v>2932.05</v>
                </pt>
                <pt idx="46">
                  <v>2932.05</v>
                </pt>
                <pt idx="47">
                  <v>2944.27</v>
                </pt>
                <pt idx="48">
                  <v>2935.66</v>
                </pt>
                <pt idx="49">
                  <v>2921.92</v>
                </pt>
                <pt idx="50">
                  <v>2936.66</v>
                </pt>
                <pt idx="51">
                  <v>2936.66</v>
                </pt>
                <pt idx="52">
                  <v>2936.66</v>
                </pt>
                <pt idx="53">
                  <v>2947.69</v>
                </pt>
                <pt idx="54">
                  <v>2971.36</v>
                </pt>
                <pt idx="55">
                  <v>2989.39</v>
                </pt>
                <pt idx="56">
                  <v>3008.8</v>
                </pt>
                <pt idx="57">
                  <v>3009.85</v>
                </pt>
                <pt idx="58">
                  <v>3009.85</v>
                </pt>
                <pt idx="59">
                  <v>3009.85</v>
                </pt>
                <pt idx="60">
                  <v>3011.44</v>
                </pt>
                <pt idx="61">
                  <v>3039.19</v>
                </pt>
                <pt idx="62">
                  <v>3038.56</v>
                </pt>
                <pt idx="63">
                  <v>3054.38</v>
                </pt>
                <pt idx="64">
                  <v>3055.57</v>
                </pt>
                <pt idx="65">
                  <v>3055.57</v>
                </pt>
                <pt idx="66">
                  <v>3055.57</v>
                </pt>
                <pt idx="67">
                  <v>3055.57</v>
                </pt>
                <pt idx="68">
                  <v>3026.94</v>
                </pt>
                <pt idx="69">
                  <v>3017.78</v>
                </pt>
                <pt idx="70">
                  <v>3015.52</v>
                </pt>
                <pt idx="71">
                  <v>3004.88</v>
                </pt>
                <pt idx="72">
                  <v>3004.88</v>
                </pt>
                <pt idx="73">
                  <v>3004.88</v>
                </pt>
                <pt idx="74">
                  <v>3004.88</v>
                </pt>
                <pt idx="75">
                  <v>3016.7</v>
                </pt>
                <pt idx="76">
                  <v>3023.88</v>
                </pt>
                <pt idx="77">
                  <v>3015.79</v>
                </pt>
                <pt idx="78">
                  <v>3003.19</v>
                </pt>
                <pt idx="79">
                  <v>3003.19</v>
                </pt>
                <pt idx="80">
                  <v>3003.19</v>
                </pt>
                <pt idx="81">
                  <v>3011.32</v>
                </pt>
                <pt idx="82">
                  <v>3001.07</v>
                </pt>
                <pt idx="83">
                  <v>2982.73</v>
                </pt>
                <pt idx="84">
                  <v>2982.73</v>
                </pt>
                <pt idx="85">
                  <v>2976.39</v>
                </pt>
                <pt idx="86">
                  <v>2976.39</v>
                </pt>
                <pt idx="87">
                  <v>2976.39</v>
                </pt>
                <pt idx="88">
                  <v>2986.84</v>
                </pt>
                <pt idx="89">
                  <v>3003.94</v>
                </pt>
                <pt idx="90">
                  <v>3006.09</v>
                </pt>
                <pt idx="91">
                  <v>3006.04</v>
                </pt>
                <pt idx="92">
                  <v>3005.76</v>
                </pt>
                <pt idx="93">
                  <v>3005.76</v>
                </pt>
                <pt idx="94">
                  <v>3005.76</v>
                </pt>
                <pt idx="95">
                  <v>2993.49</v>
                </pt>
                <pt idx="96">
                  <v>2996.53</v>
                </pt>
                <pt idx="97">
                  <v>3007.07</v>
                </pt>
                <pt idx="98">
                  <v>3016.18</v>
                </pt>
                <pt idx="99">
                  <v>3016.18</v>
                </pt>
                <pt idx="100">
                  <v>3016.18</v>
                </pt>
                <pt idx="101">
                  <v>3016.18</v>
                </pt>
                <pt idx="102">
                  <v>3013.99</v>
                </pt>
                <pt idx="103">
                  <v>3029.75</v>
                </pt>
                <pt idx="104">
                  <v>3015.41</v>
                </pt>
                <pt idx="105">
                  <v>2999.07</v>
                </pt>
                <pt idx="106">
                  <v>2996.61</v>
                </pt>
                <pt idx="107">
                  <v>2996.61</v>
                </pt>
                <pt idx="108">
                  <v>2996.61</v>
                </pt>
                <pt idx="109">
                  <v>2975.59</v>
                </pt>
                <pt idx="110">
                  <v>2972.05</v>
                </pt>
                <pt idx="111">
                  <v>2965.77</v>
                </pt>
                <pt idx="112">
                  <v>2963.58</v>
                </pt>
                <pt idx="113">
                  <v>2962.14</v>
                </pt>
                <pt idx="114">
                  <v>2962.14</v>
                </pt>
                <pt idx="115">
                  <v>2962.14</v>
                </pt>
                <pt idx="116">
                  <v>2962.14</v>
                </pt>
                <pt idx="117">
                  <v>2962.26</v>
                </pt>
                <pt idx="118">
                  <v>2971.63</v>
                </pt>
                <pt idx="119">
                  <v>2984</v>
                </pt>
                <pt idx="120">
                  <v>2984</v>
                </pt>
                <pt idx="121">
                  <v>2984</v>
                </pt>
                <pt idx="122">
                  <v>2984</v>
                </pt>
                <pt idx="123">
                  <v>2984</v>
                </pt>
                <pt idx="124">
                  <v>2940.94</v>
                </pt>
                <pt idx="125">
                  <v>2908.68</v>
                </pt>
                <pt idx="126">
                  <v>2885.76</v>
                </pt>
                <pt idx="127">
                  <v>2898.32</v>
                </pt>
                <pt idx="128">
                  <v>2898.32</v>
                </pt>
                <pt idx="129">
                  <v>2898.32</v>
                </pt>
                <pt idx="130">
                  <v>2898.32</v>
                </pt>
                <pt idx="131">
                  <v>2914.37</v>
                </pt>
                <pt idx="132">
                  <v>2895.69</v>
                </pt>
                <pt idx="133">
                  <v>2865.79</v>
                </pt>
                <pt idx="134">
                  <v>2855.86</v>
                </pt>
                <pt idx="135">
                  <v>2855.86</v>
                </pt>
                <pt idx="136">
                  <v>2855.86</v>
                </pt>
                <pt idx="137">
                  <v>2855.86</v>
                </pt>
                <pt idx="138">
                  <v>2868.03</v>
                </pt>
                <pt idx="139">
                  <v>2851.13</v>
                </pt>
                <pt idx="140">
                  <v>2836.85</v>
                </pt>
                <pt idx="141">
                  <v>2851.75</v>
                </pt>
                <pt idx="142">
                  <v>2851.75</v>
                </pt>
                <pt idx="143">
                  <v>2851.75</v>
                </pt>
                <pt idx="144">
                  <v>2854.2</v>
                </pt>
                <pt idx="145">
                  <v>2858.5</v>
                </pt>
                <pt idx="146">
                  <v>2820.53</v>
                </pt>
                <pt idx="147">
                  <v>2783.13</v>
                </pt>
                <pt idx="148">
                  <v>2805.12</v>
                </pt>
                <pt idx="149">
                  <v>2805.12</v>
                </pt>
                <pt idx="150">
                  <v>2805.12</v>
                </pt>
                <pt idx="151">
                  <v>2842.67</v>
                </pt>
                <pt idx="152">
                  <v>2844.14</v>
                </pt>
                <pt idx="153">
                  <v>2835.05</v>
                </pt>
                <pt idx="154">
                  <v>2806.67</v>
                </pt>
                <pt idx="155">
                  <v>2832.13</v>
                </pt>
                <pt idx="156">
                  <v>2832.13</v>
                </pt>
                <pt idx="157">
                  <v>2832.13</v>
                </pt>
                <pt idx="158">
                  <v>2843.6</v>
                </pt>
                <pt idx="159">
                  <v>2844.83</v>
                </pt>
                <pt idx="160">
                  <v>2830.89</v>
                </pt>
                <pt idx="161">
                  <v>2862.78</v>
                </pt>
                <pt idx="162">
                  <v>2908.7</v>
                </pt>
                <pt idx="163">
                  <v>2908.7</v>
                </pt>
                <pt idx="164">
                  <v>2908.7</v>
                </pt>
                <pt idx="165">
                  <v>2904.29</v>
                </pt>
                <pt idx="166">
                  <v>2904.71</v>
                </pt>
                <pt idx="167">
                  <v>2895.79</v>
                </pt>
                <pt idx="168">
                  <v>2895.79</v>
                </pt>
                <pt idx="169">
                  <v>2853.16</v>
                </pt>
                <pt idx="170">
                  <v>2853.16</v>
                </pt>
                <pt idx="171">
                  <v>2853.16</v>
                </pt>
                <pt idx="172">
                  <v>2853.16</v>
                </pt>
                <pt idx="173">
                  <v>2862.01</v>
                </pt>
                <pt idx="174">
                  <v>2877.94</v>
                </pt>
                <pt idx="175">
                  <v>2877.04</v>
                </pt>
                <pt idx="176">
                  <v>2849.59</v>
                </pt>
                <pt idx="177">
                  <v>2849.59</v>
                </pt>
                <pt idx="178">
                  <v>2849.59</v>
                </pt>
                <pt idx="179">
                  <v>2849.91</v>
                </pt>
                <pt idx="180">
                  <v>2855.93</v>
                </pt>
                <pt idx="181">
                  <v>2867.94</v>
                </pt>
                <pt idx="182">
                  <v>2879.05</v>
                </pt>
                <pt idx="183">
                  <v>2879.15</v>
                </pt>
                <pt idx="184">
                  <v>2879.15</v>
                </pt>
                <pt idx="185">
                  <v>2879.15</v>
                </pt>
                <pt idx="186">
                  <v>2859.09</v>
                </pt>
                <pt idx="187">
                  <v>2845.05</v>
                </pt>
                <pt idx="188">
                  <v>2858.88</v>
                </pt>
                <pt idx="189">
                  <v>2871.36</v>
                </pt>
                <pt idx="190">
                  <v>2866.93</v>
                </pt>
                <pt idx="191">
                  <v>2866.93</v>
                </pt>
                <pt idx="192">
                  <v>2866.93</v>
                </pt>
                <pt idx="193">
                  <v>2851.84</v>
                </pt>
                <pt idx="194">
                  <v>2848.38</v>
                </pt>
                <pt idx="195">
                  <v>2845.76</v>
                </pt>
                <pt idx="196">
                  <v>2850.04</v>
                </pt>
                <pt idx="197">
                  <v>2852.48</v>
                </pt>
                <pt idx="198">
                  <v>2852.48</v>
                </pt>
                <pt idx="199">
                  <v>2852.48</v>
                </pt>
                <pt idx="200">
                  <v>2852.48</v>
                </pt>
                <pt idx="201">
                  <v>2866.92</v>
                </pt>
                <pt idx="202">
                  <v>2850.69</v>
                </pt>
                <pt idx="203">
                  <v>2857.88</v>
                </pt>
                <pt idx="204">
                  <v>2849.01</v>
                </pt>
                <pt idx="205">
                  <v>2849.01</v>
                </pt>
                <pt idx="206">
                  <v>2849.01</v>
                </pt>
                <pt idx="207">
                  <v>2816.33</v>
                </pt>
                <pt idx="208">
                  <v>2780.04</v>
                </pt>
                <pt idx="209">
                  <v>2780.47</v>
                </pt>
                <pt idx="210">
                  <v>2780.47</v>
                </pt>
                <pt idx="211">
                  <v>2780.47</v>
                </pt>
                <pt idx="212">
                  <v>2780.47</v>
                </pt>
                <pt idx="213">
                  <v>2780.47</v>
                </pt>
                <pt idx="214">
                  <v>2792.96</v>
                </pt>
                <pt idx="215">
                  <v>2778.27</v>
                </pt>
                <pt idx="216">
                  <v>2791.57</v>
                </pt>
                <pt idx="217">
                  <v>2787.36</v>
                </pt>
                <pt idx="218">
                  <v>2791.88</v>
                </pt>
                <pt idx="219">
                  <v>2791.88</v>
                </pt>
                <pt idx="220">
                  <v>2791.88</v>
                </pt>
                <pt idx="221">
                  <v>2781.95</v>
                </pt>
                <pt idx="222">
                  <v>2767.82</v>
                </pt>
                <pt idx="223">
                  <v>2733.24</v>
                </pt>
                <pt idx="224">
                  <v>2710.03</v>
                </pt>
                <pt idx="225">
                  <v>2705.34</v>
                </pt>
                <pt idx="226">
                  <v>2705.34</v>
                </pt>
                <pt idx="227">
                  <v>2705.34</v>
                </pt>
                <pt idx="228">
                  <v>2726.47</v>
                </pt>
                <pt idx="229">
                  <v>2725.66</v>
                </pt>
                <pt idx="230">
                  <v>2705.64</v>
                </pt>
                <pt idx="231">
                  <v>2724.47</v>
                </pt>
                <pt idx="232">
                  <v>2757.96</v>
                </pt>
                <pt idx="233">
                  <v>2757.96</v>
                </pt>
                <pt idx="234">
                  <v>2757.96</v>
                </pt>
                <pt idx="235">
                  <v>2799.45</v>
                </pt>
                <pt idx="236">
                  <v>2785.22</v>
                </pt>
                <pt idx="237">
                  <v>2820.29</v>
                </pt>
                <pt idx="238">
                  <v>2812.83</v>
                </pt>
                <pt idx="239">
                  <v>2806.28</v>
                </pt>
                <pt idx="240">
                  <v>2806.28</v>
                </pt>
                <pt idx="241">
                  <v>2806.28</v>
                </pt>
                <pt idx="242">
                  <v>2809.92</v>
                </pt>
                <pt idx="243">
                  <v>2809.92</v>
                </pt>
                <pt idx="244">
                  <v>2831.99</v>
                </pt>
                <pt idx="245">
                  <v>2857.85</v>
                </pt>
                <pt idx="246">
                  <v>2843.41</v>
                </pt>
                <pt idx="247">
                  <v>2843.41</v>
                </pt>
                <pt idx="248">
                  <v>2843.41</v>
                </pt>
                <pt idx="249">
                  <v>2817.2</v>
                </pt>
                <pt idx="250">
                  <v>2866</v>
                </pt>
                <pt idx="251">
                  <v>2859.51</v>
                </pt>
                <pt idx="252">
                  <v>2822.37</v>
                </pt>
                <pt idx="253">
                  <v>2824.05</v>
                </pt>
                <pt idx="254">
                  <v>2824.05</v>
                </pt>
                <pt idx="255">
                  <v>2824.05</v>
                </pt>
                <pt idx="256">
                  <v>2824.05</v>
                </pt>
                <pt idx="257">
                  <v>2889.87</v>
                </pt>
                <pt idx="258">
                  <v>2865.37</v>
                </pt>
                <pt idx="259">
                  <v>2886.23</v>
                </pt>
                <pt idx="260">
                  <v>2925.67</v>
                </pt>
                <pt idx="261">
                  <v>2925.67</v>
                </pt>
                <pt idx="262">
                  <v>2925.67</v>
                </pt>
                <pt idx="263">
                  <v>2897.37</v>
                </pt>
                <pt idx="264">
                  <v>2851.42</v>
                </pt>
                <pt idx="265">
                  <v>2863.24</v>
                </pt>
                <pt idx="266">
                  <v>2863.12</v>
                </pt>
                <pt idx="267">
                  <v>2887.16</v>
                </pt>
                <pt idx="268">
                  <v>2887.16</v>
                </pt>
                <pt idx="269">
                  <v>2887.16</v>
                </pt>
                <pt idx="270">
                  <v>2887.16</v>
                </pt>
                <pt idx="271">
                  <v>2893.82</v>
                </pt>
                <pt idx="272">
                  <v>2879.32</v>
                </pt>
                <pt idx="273">
                  <v>2889.32</v>
                </pt>
                <pt idx="274">
                  <v>2868.22</v>
                </pt>
                <pt idx="275">
                  <v>2868.22</v>
                </pt>
                <pt idx="276">
                  <v>2868.22</v>
                </pt>
                <pt idx="277">
                  <v>2868.22</v>
                </pt>
                <pt idx="278">
                  <v>2865.37</v>
                </pt>
                <pt idx="279">
                  <v>2828.42</v>
                </pt>
                <pt idx="280">
                  <v>2835.78</v>
                </pt>
                <pt idx="281">
                  <v>2855.8</v>
                </pt>
                <pt idx="282">
                  <v>2855.8</v>
                </pt>
                <pt idx="283">
                  <v>2855.8</v>
                </pt>
                <pt idx="284">
                  <v>2855.8</v>
                </pt>
                <pt idx="285">
                  <v>2857.11</v>
                </pt>
                <pt idx="286">
                  <v>2859.17</v>
                </pt>
                <pt idx="287">
                  <v>2859.78</v>
                </pt>
                <pt idx="288">
                  <v>2890.06</v>
                </pt>
                <pt idx="289">
                  <v>2890.06</v>
                </pt>
                <pt idx="290">
                  <v>2890.06</v>
                </pt>
                <pt idx="291">
                  <v>2919.14</v>
                </pt>
                <pt idx="292">
                  <v>2931.78</v>
                </pt>
                <pt idx="293">
                  <v>2916.49</v>
                </pt>
                <pt idx="294">
                  <v>2944.82</v>
                </pt>
                <pt idx="295">
                  <v>2918.22</v>
                </pt>
                <pt idx="296">
                  <v>2918.22</v>
                </pt>
                <pt idx="297">
                  <v>2918.22</v>
                </pt>
                <pt idx="298">
                  <v>2927.67</v>
                </pt>
                <pt idx="299">
                  <v>2924.1</v>
                </pt>
                <pt idx="300">
                  <v>2924.1</v>
                </pt>
                <pt idx="301">
                  <v>2934.91</v>
                </pt>
                <pt idx="302">
                  <v>2945.09</v>
                </pt>
                <pt idx="303">
                  <v>2930.8</v>
                </pt>
                <pt idx="304">
                  <v>2930.8</v>
                </pt>
                <pt idx="305">
                  <v>2930.8</v>
                </pt>
                <pt idx="306">
                  <v>2909.83</v>
                </pt>
                <pt idx="307">
                  <v>2909.83</v>
                </pt>
                <pt idx="308">
                  <v>2885.53</v>
                </pt>
                <pt idx="309">
                  <v>2867.94</v>
                </pt>
                <pt idx="310">
                  <v>2867.94</v>
                </pt>
                <pt idx="311">
                  <v>2867.94</v>
                </pt>
                <pt idx="312">
                  <v>2881.09</v>
                </pt>
                <pt idx="313">
                  <v>2872.62</v>
                </pt>
                <pt idx="314">
                  <v>2880.1</v>
                </pt>
                <pt idx="315">
                  <v>2882.02</v>
                </pt>
                <pt idx="316">
                  <v>2861.7</v>
                </pt>
                <pt idx="317">
                  <v>2861.7</v>
                </pt>
                <pt idx="318">
                  <v>2861.7</v>
                </pt>
                <pt idx="319">
                  <v>2868.96</v>
                </pt>
                <pt idx="320">
                  <v>2878.28</v>
                </pt>
                <pt idx="321">
                  <v>2876.93</v>
                </pt>
                <pt idx="322">
                  <v>2883.81</v>
                </pt>
                <pt idx="323">
                  <v>2883.81</v>
                </pt>
                <pt idx="324">
                  <v>2883.81</v>
                </pt>
                <pt idx="325">
                  <v>2883.81</v>
                </pt>
                <pt idx="326">
                  <v>2897.73</v>
                </pt>
                <pt idx="327">
                  <v>2898.36</v>
                </pt>
                <pt idx="328">
                  <v>2882.84</v>
                </pt>
                <pt idx="329">
                  <v>2886.21</v>
                </pt>
                <pt idx="330">
                  <v>2880.79</v>
                </pt>
                <pt idx="331">
                  <v>2875.72</v>
                </pt>
                <pt idx="332">
                  <v>2880.79</v>
                </pt>
                <pt idx="333">
                  <v>2875.72</v>
                </pt>
                <pt idx="334">
                  <v>2886.8</v>
                </pt>
                <pt idx="335">
                  <v>2892.62</v>
                </pt>
                <pt idx="336">
                  <v>2904.9</v>
                </pt>
                <pt idx="337">
                  <v>2898.99</v>
                </pt>
                <pt idx="338">
                  <v>2898.99</v>
                </pt>
                <pt idx="339">
                  <v>2898.99</v>
                </pt>
                <pt idx="340">
                  <v>2898.86</v>
                </pt>
                <pt idx="341">
                  <v>2898.86</v>
                </pt>
                <pt idx="342">
                  <v>2908.9</v>
                </pt>
                <pt idx="343">
                  <v>2919.44</v>
                </pt>
                <pt idx="344">
                  <v>2940.95</v>
                </pt>
                <pt idx="345">
                  <v>2940.95</v>
                </pt>
                <pt idx="346">
                  <v>2940.95</v>
                </pt>
                <pt idx="347">
                  <v>2983.93</v>
                </pt>
                <pt idx="348">
                  <v>3002.66</v>
                </pt>
                <pt idx="349">
                  <v>3046.76</v>
                </pt>
                <pt idx="350">
                  <v>3019.55</v>
                </pt>
                <pt idx="351">
                  <v>3024.02</v>
                </pt>
                <pt idx="352">
                  <v>3024.02</v>
                </pt>
                <pt idx="353">
                  <v>3024.02</v>
                </pt>
                <pt idx="354">
                  <v>3024.02</v>
                </pt>
                <pt idx="355">
                  <v>2990.78</v>
                </pt>
                <pt idx="356">
                  <v>2965.45</v>
                </pt>
                <pt idx="357">
                  <v>2980.64</v>
                </pt>
                <pt idx="358">
                  <v>2958.45</v>
                </pt>
                <pt idx="359">
                  <v>2958.45</v>
                </pt>
                <pt idx="360">
                  <v>2958.45</v>
                </pt>
                <pt idx="361">
                  <v>2934.31</v>
                </pt>
                <pt idx="362">
                  <v>2966</v>
                </pt>
                <pt idx="363">
                  <v>2999.57</v>
                </pt>
                <pt idx="364">
                  <v>3027.39</v>
                </pt>
              </numCache>
            </numRef>
          </val>
          <smooth val="0"/>
        </ser>
        <ser>
          <idx val="2"/>
          <order val="2"/>
          <tx>
            <strRef>
              <f>Data!$E$4</f>
              <strCache>
                <ptCount val="1"/>
                <pt idx="0">
                  <v>FY19</v>
                </pt>
              </strCache>
            </strRef>
          </tx>
          <spPr>
            <a:ln xmlns:a="http://schemas.openxmlformats.org/drawingml/2006/main" cap="rnd" w="34925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Data!$A$737:$A$1101</f>
              <numCache>
                <formatCode>m/d/yyyy</formatCode>
                <ptCount val="365"/>
                <pt idx="0">
                  <v>42614</v>
                </pt>
                <pt idx="1">
                  <v>42615</v>
                </pt>
                <pt idx="2">
                  <v>42616</v>
                </pt>
                <pt idx="3">
                  <v>42617</v>
                </pt>
                <pt idx="4">
                  <v>42618</v>
                </pt>
                <pt idx="5">
                  <v>42619</v>
                </pt>
                <pt idx="6">
                  <v>42620</v>
                </pt>
                <pt idx="7">
                  <v>42621</v>
                </pt>
                <pt idx="8">
                  <v>42622</v>
                </pt>
                <pt idx="9">
                  <v>42623</v>
                </pt>
                <pt idx="10">
                  <v>42624</v>
                </pt>
                <pt idx="11">
                  <v>42625</v>
                </pt>
                <pt idx="12">
                  <v>42626</v>
                </pt>
                <pt idx="13">
                  <v>42627</v>
                </pt>
                <pt idx="14">
                  <v>42628</v>
                </pt>
                <pt idx="15">
                  <v>42629</v>
                </pt>
                <pt idx="16">
                  <v>42630</v>
                </pt>
                <pt idx="17">
                  <v>42631</v>
                </pt>
                <pt idx="18">
                  <v>42632</v>
                </pt>
                <pt idx="19">
                  <v>42633</v>
                </pt>
                <pt idx="20">
                  <v>42634</v>
                </pt>
                <pt idx="21">
                  <v>42635</v>
                </pt>
                <pt idx="22">
                  <v>42636</v>
                </pt>
                <pt idx="23">
                  <v>42637</v>
                </pt>
                <pt idx="24">
                  <v>42638</v>
                </pt>
                <pt idx="25">
                  <v>42639</v>
                </pt>
                <pt idx="26">
                  <v>42640</v>
                </pt>
                <pt idx="27">
                  <v>42641</v>
                </pt>
                <pt idx="28">
                  <v>42642</v>
                </pt>
                <pt idx="29">
                  <v>42643</v>
                </pt>
                <pt idx="30">
                  <v>42644</v>
                </pt>
                <pt idx="31">
                  <v>42645</v>
                </pt>
                <pt idx="32">
                  <v>42646</v>
                </pt>
                <pt idx="33">
                  <v>42647</v>
                </pt>
                <pt idx="34">
                  <v>42648</v>
                </pt>
                <pt idx="35">
                  <v>42649</v>
                </pt>
                <pt idx="36">
                  <v>42650</v>
                </pt>
                <pt idx="37">
                  <v>42651</v>
                </pt>
                <pt idx="38">
                  <v>42652</v>
                </pt>
                <pt idx="39">
                  <v>42653</v>
                </pt>
                <pt idx="40">
                  <v>42654</v>
                </pt>
                <pt idx="41">
                  <v>42655</v>
                </pt>
                <pt idx="42">
                  <v>42656</v>
                </pt>
                <pt idx="43">
                  <v>42657</v>
                </pt>
                <pt idx="44">
                  <v>42658</v>
                </pt>
                <pt idx="45">
                  <v>42659</v>
                </pt>
                <pt idx="46">
                  <v>42660</v>
                </pt>
                <pt idx="47">
                  <v>42661</v>
                </pt>
                <pt idx="48">
                  <v>42662</v>
                </pt>
                <pt idx="49">
                  <v>42663</v>
                </pt>
                <pt idx="50">
                  <v>42664</v>
                </pt>
                <pt idx="51">
                  <v>42665</v>
                </pt>
                <pt idx="52">
                  <v>42666</v>
                </pt>
                <pt idx="53">
                  <v>42667</v>
                </pt>
                <pt idx="54">
                  <v>42668</v>
                </pt>
                <pt idx="55">
                  <v>42669</v>
                </pt>
                <pt idx="56">
                  <v>42670</v>
                </pt>
                <pt idx="57">
                  <v>42671</v>
                </pt>
                <pt idx="58">
                  <v>42672</v>
                </pt>
                <pt idx="59">
                  <v>42673</v>
                </pt>
                <pt idx="60">
                  <v>42674</v>
                </pt>
                <pt idx="61">
                  <v>42675</v>
                </pt>
                <pt idx="62">
                  <v>42676</v>
                </pt>
                <pt idx="63">
                  <v>42677</v>
                </pt>
                <pt idx="64">
                  <v>42678</v>
                </pt>
                <pt idx="65">
                  <v>42679</v>
                </pt>
                <pt idx="66">
                  <v>42680</v>
                </pt>
                <pt idx="67">
                  <v>42681</v>
                </pt>
                <pt idx="68">
                  <v>42682</v>
                </pt>
                <pt idx="69">
                  <v>42683</v>
                </pt>
                <pt idx="70">
                  <v>42684</v>
                </pt>
                <pt idx="71">
                  <v>42685</v>
                </pt>
                <pt idx="72">
                  <v>42686</v>
                </pt>
                <pt idx="73">
                  <v>42687</v>
                </pt>
                <pt idx="74">
                  <v>42688</v>
                </pt>
                <pt idx="75">
                  <v>42689</v>
                </pt>
                <pt idx="76">
                  <v>42690</v>
                </pt>
                <pt idx="77">
                  <v>42691</v>
                </pt>
                <pt idx="78">
                  <v>42692</v>
                </pt>
                <pt idx="79">
                  <v>42693</v>
                </pt>
                <pt idx="80">
                  <v>42694</v>
                </pt>
                <pt idx="81">
                  <v>42695</v>
                </pt>
                <pt idx="82">
                  <v>42696</v>
                </pt>
                <pt idx="83">
                  <v>42697</v>
                </pt>
                <pt idx="84">
                  <v>42698</v>
                </pt>
                <pt idx="85">
                  <v>42699</v>
                </pt>
                <pt idx="86">
                  <v>42700</v>
                </pt>
                <pt idx="87">
                  <v>42701</v>
                </pt>
                <pt idx="88">
                  <v>42702</v>
                </pt>
                <pt idx="89">
                  <v>42703</v>
                </pt>
                <pt idx="90">
                  <v>42704</v>
                </pt>
                <pt idx="91">
                  <v>42705</v>
                </pt>
                <pt idx="92">
                  <v>42706</v>
                </pt>
                <pt idx="93">
                  <v>42707</v>
                </pt>
                <pt idx="94">
                  <v>42708</v>
                </pt>
                <pt idx="95">
                  <v>42709</v>
                </pt>
                <pt idx="96">
                  <v>42710</v>
                </pt>
                <pt idx="97">
                  <v>42711</v>
                </pt>
                <pt idx="98">
                  <v>42712</v>
                </pt>
                <pt idx="99">
                  <v>42713</v>
                </pt>
                <pt idx="100">
                  <v>42714</v>
                </pt>
                <pt idx="101">
                  <v>42715</v>
                </pt>
                <pt idx="102">
                  <v>42716</v>
                </pt>
                <pt idx="103">
                  <v>42717</v>
                </pt>
                <pt idx="104">
                  <v>42718</v>
                </pt>
                <pt idx="105">
                  <v>42719</v>
                </pt>
                <pt idx="106">
                  <v>42720</v>
                </pt>
                <pt idx="107">
                  <v>42721</v>
                </pt>
                <pt idx="108">
                  <v>42722</v>
                </pt>
                <pt idx="109">
                  <v>42723</v>
                </pt>
                <pt idx="110">
                  <v>42724</v>
                </pt>
                <pt idx="111">
                  <v>42725</v>
                </pt>
                <pt idx="112">
                  <v>42726</v>
                </pt>
                <pt idx="113">
                  <v>42727</v>
                </pt>
                <pt idx="114">
                  <v>42728</v>
                </pt>
                <pt idx="115">
                  <v>42729</v>
                </pt>
                <pt idx="116">
                  <v>42730</v>
                </pt>
                <pt idx="117">
                  <v>42731</v>
                </pt>
                <pt idx="118">
                  <v>42732</v>
                </pt>
                <pt idx="119">
                  <v>42733</v>
                </pt>
                <pt idx="120">
                  <v>42734</v>
                </pt>
                <pt idx="121">
                  <v>42735</v>
                </pt>
                <pt idx="122">
                  <v>42736</v>
                </pt>
                <pt idx="123">
                  <v>42737</v>
                </pt>
                <pt idx="124">
                  <v>42738</v>
                </pt>
                <pt idx="125">
                  <v>42739</v>
                </pt>
                <pt idx="126">
                  <v>42740</v>
                </pt>
                <pt idx="127">
                  <v>42741</v>
                </pt>
                <pt idx="128">
                  <v>42742</v>
                </pt>
                <pt idx="129">
                  <v>42743</v>
                </pt>
                <pt idx="130">
                  <v>42744</v>
                </pt>
                <pt idx="131">
                  <v>42745</v>
                </pt>
                <pt idx="132">
                  <v>42746</v>
                </pt>
                <pt idx="133">
                  <v>42747</v>
                </pt>
                <pt idx="134">
                  <v>42748</v>
                </pt>
                <pt idx="135">
                  <v>42749</v>
                </pt>
                <pt idx="136">
                  <v>42750</v>
                </pt>
                <pt idx="137">
                  <v>42751</v>
                </pt>
                <pt idx="138">
                  <v>42752</v>
                </pt>
                <pt idx="139">
                  <v>42753</v>
                </pt>
                <pt idx="140">
                  <v>42754</v>
                </pt>
                <pt idx="141">
                  <v>42755</v>
                </pt>
                <pt idx="142">
                  <v>42756</v>
                </pt>
                <pt idx="143">
                  <v>42757</v>
                </pt>
                <pt idx="144">
                  <v>42758</v>
                </pt>
                <pt idx="145">
                  <v>42759</v>
                </pt>
                <pt idx="146">
                  <v>42760</v>
                </pt>
                <pt idx="147">
                  <v>42761</v>
                </pt>
                <pt idx="148">
                  <v>42762</v>
                </pt>
                <pt idx="149">
                  <v>42763</v>
                </pt>
                <pt idx="150">
                  <v>42764</v>
                </pt>
                <pt idx="151">
                  <v>42765</v>
                </pt>
                <pt idx="152">
                  <v>42766</v>
                </pt>
                <pt idx="153">
                  <v>42767</v>
                </pt>
                <pt idx="154">
                  <v>42768</v>
                </pt>
                <pt idx="155">
                  <v>42769</v>
                </pt>
                <pt idx="156">
                  <v>42770</v>
                </pt>
                <pt idx="157">
                  <v>42771</v>
                </pt>
                <pt idx="158">
                  <v>42772</v>
                </pt>
                <pt idx="159">
                  <v>42773</v>
                </pt>
                <pt idx="160">
                  <v>42774</v>
                </pt>
                <pt idx="161">
                  <v>42775</v>
                </pt>
                <pt idx="162">
                  <v>42776</v>
                </pt>
                <pt idx="163">
                  <v>42777</v>
                </pt>
                <pt idx="164">
                  <v>42778</v>
                </pt>
                <pt idx="165">
                  <v>42779</v>
                </pt>
                <pt idx="166">
                  <v>42780</v>
                </pt>
                <pt idx="167">
                  <v>42781</v>
                </pt>
                <pt idx="168">
                  <v>42782</v>
                </pt>
                <pt idx="169">
                  <v>42783</v>
                </pt>
                <pt idx="170">
                  <v>42784</v>
                </pt>
                <pt idx="171">
                  <v>42785</v>
                </pt>
                <pt idx="172">
                  <v>42786</v>
                </pt>
                <pt idx="173">
                  <v>42787</v>
                </pt>
                <pt idx="174">
                  <v>42788</v>
                </pt>
                <pt idx="175">
                  <v>42789</v>
                </pt>
                <pt idx="176">
                  <v>42790</v>
                </pt>
                <pt idx="177">
                  <v>42791</v>
                </pt>
                <pt idx="178">
                  <v>42792</v>
                </pt>
                <pt idx="179">
                  <v>42793</v>
                </pt>
                <pt idx="180">
                  <v>42794</v>
                </pt>
                <pt idx="181">
                  <v>42795</v>
                </pt>
                <pt idx="182">
                  <v>42796</v>
                </pt>
                <pt idx="183">
                  <v>42797</v>
                </pt>
                <pt idx="184">
                  <v>42798</v>
                </pt>
                <pt idx="185">
                  <v>42799</v>
                </pt>
                <pt idx="186">
                  <v>42800</v>
                </pt>
                <pt idx="187">
                  <v>42801</v>
                </pt>
                <pt idx="188">
                  <v>42802</v>
                </pt>
                <pt idx="189">
                  <v>42803</v>
                </pt>
                <pt idx="190">
                  <v>42804</v>
                </pt>
                <pt idx="191">
                  <v>42805</v>
                </pt>
                <pt idx="192">
                  <v>42806</v>
                </pt>
                <pt idx="193">
                  <v>42807</v>
                </pt>
                <pt idx="194">
                  <v>42808</v>
                </pt>
                <pt idx="195">
                  <v>42809</v>
                </pt>
                <pt idx="196">
                  <v>42810</v>
                </pt>
                <pt idx="197">
                  <v>42811</v>
                </pt>
                <pt idx="198">
                  <v>42812</v>
                </pt>
                <pt idx="199">
                  <v>42813</v>
                </pt>
                <pt idx="200">
                  <v>42814</v>
                </pt>
                <pt idx="201">
                  <v>42815</v>
                </pt>
                <pt idx="202">
                  <v>42816</v>
                </pt>
                <pt idx="203">
                  <v>42817</v>
                </pt>
                <pt idx="204">
                  <v>42818</v>
                </pt>
                <pt idx="205">
                  <v>42819</v>
                </pt>
                <pt idx="206">
                  <v>42820</v>
                </pt>
                <pt idx="207">
                  <v>42821</v>
                </pt>
                <pt idx="208">
                  <v>42822</v>
                </pt>
                <pt idx="209">
                  <v>42823</v>
                </pt>
                <pt idx="210">
                  <v>42824</v>
                </pt>
                <pt idx="211">
                  <v>42825</v>
                </pt>
                <pt idx="212">
                  <v>42826</v>
                </pt>
                <pt idx="213">
                  <v>42827</v>
                </pt>
                <pt idx="214">
                  <v>42828</v>
                </pt>
                <pt idx="215">
                  <v>42829</v>
                </pt>
                <pt idx="216">
                  <v>42830</v>
                </pt>
                <pt idx="217">
                  <v>42831</v>
                </pt>
                <pt idx="218">
                  <v>42832</v>
                </pt>
                <pt idx="219">
                  <v>42833</v>
                </pt>
                <pt idx="220">
                  <v>42834</v>
                </pt>
                <pt idx="221">
                  <v>42835</v>
                </pt>
                <pt idx="222">
                  <v>42836</v>
                </pt>
                <pt idx="223">
                  <v>42837</v>
                </pt>
                <pt idx="224">
                  <v>42838</v>
                </pt>
                <pt idx="225">
                  <v>42839</v>
                </pt>
                <pt idx="226">
                  <v>42840</v>
                </pt>
                <pt idx="227">
                  <v>42841</v>
                </pt>
                <pt idx="228">
                  <v>42842</v>
                </pt>
                <pt idx="229">
                  <v>42843</v>
                </pt>
                <pt idx="230">
                  <v>42844</v>
                </pt>
                <pt idx="231">
                  <v>42845</v>
                </pt>
                <pt idx="232">
                  <v>42846</v>
                </pt>
                <pt idx="233">
                  <v>42847</v>
                </pt>
                <pt idx="234">
                  <v>42848</v>
                </pt>
                <pt idx="235">
                  <v>42849</v>
                </pt>
                <pt idx="236">
                  <v>42850</v>
                </pt>
                <pt idx="237">
                  <v>42851</v>
                </pt>
                <pt idx="238">
                  <v>42852</v>
                </pt>
                <pt idx="239">
                  <v>42853</v>
                </pt>
                <pt idx="240">
                  <v>42854</v>
                </pt>
                <pt idx="241">
                  <v>42855</v>
                </pt>
                <pt idx="242">
                  <v>42856</v>
                </pt>
                <pt idx="243">
                  <v>42857</v>
                </pt>
                <pt idx="244">
                  <v>42858</v>
                </pt>
                <pt idx="245">
                  <v>42859</v>
                </pt>
                <pt idx="246">
                  <v>42860</v>
                </pt>
                <pt idx="247">
                  <v>42861</v>
                </pt>
                <pt idx="248">
                  <v>42862</v>
                </pt>
                <pt idx="249">
                  <v>42863</v>
                </pt>
                <pt idx="250">
                  <v>42864</v>
                </pt>
                <pt idx="251">
                  <v>42865</v>
                </pt>
                <pt idx="252">
                  <v>42866</v>
                </pt>
                <pt idx="253">
                  <v>42867</v>
                </pt>
                <pt idx="254">
                  <v>42868</v>
                </pt>
                <pt idx="255">
                  <v>42869</v>
                </pt>
                <pt idx="256">
                  <v>42870</v>
                </pt>
                <pt idx="257">
                  <v>42871</v>
                </pt>
                <pt idx="258">
                  <v>42872</v>
                </pt>
                <pt idx="259">
                  <v>42873</v>
                </pt>
                <pt idx="260">
                  <v>42874</v>
                </pt>
                <pt idx="261">
                  <v>42875</v>
                </pt>
                <pt idx="262">
                  <v>42876</v>
                </pt>
                <pt idx="263">
                  <v>42877</v>
                </pt>
                <pt idx="264">
                  <v>42878</v>
                </pt>
                <pt idx="265">
                  <v>42879</v>
                </pt>
                <pt idx="266">
                  <v>42880</v>
                </pt>
                <pt idx="267">
                  <v>42881</v>
                </pt>
                <pt idx="268">
                  <v>42882</v>
                </pt>
                <pt idx="269">
                  <v>42883</v>
                </pt>
                <pt idx="270">
                  <v>42884</v>
                </pt>
                <pt idx="271">
                  <v>42885</v>
                </pt>
                <pt idx="272">
                  <v>42886</v>
                </pt>
                <pt idx="273">
                  <v>42887</v>
                </pt>
                <pt idx="274">
                  <v>42888</v>
                </pt>
                <pt idx="275">
                  <v>42889</v>
                </pt>
                <pt idx="276">
                  <v>42890</v>
                </pt>
                <pt idx="277">
                  <v>42891</v>
                </pt>
                <pt idx="278">
                  <v>42892</v>
                </pt>
                <pt idx="279">
                  <v>42893</v>
                </pt>
                <pt idx="280">
                  <v>42894</v>
                </pt>
                <pt idx="281">
                  <v>42895</v>
                </pt>
                <pt idx="282">
                  <v>42896</v>
                </pt>
                <pt idx="283">
                  <v>42897</v>
                </pt>
                <pt idx="284">
                  <v>42898</v>
                </pt>
                <pt idx="285">
                  <v>42899</v>
                </pt>
                <pt idx="286">
                  <v>42900</v>
                </pt>
                <pt idx="287">
                  <v>42901</v>
                </pt>
                <pt idx="288">
                  <v>42902</v>
                </pt>
                <pt idx="289">
                  <v>42903</v>
                </pt>
                <pt idx="290">
                  <v>42904</v>
                </pt>
                <pt idx="291">
                  <v>42905</v>
                </pt>
                <pt idx="292">
                  <v>42906</v>
                </pt>
                <pt idx="293">
                  <v>42907</v>
                </pt>
                <pt idx="294">
                  <v>42908</v>
                </pt>
                <pt idx="295">
                  <v>42909</v>
                </pt>
                <pt idx="296">
                  <v>42910</v>
                </pt>
                <pt idx="297">
                  <v>42911</v>
                </pt>
                <pt idx="298">
                  <v>42912</v>
                </pt>
                <pt idx="299">
                  <v>42913</v>
                </pt>
                <pt idx="300">
                  <v>42914</v>
                </pt>
                <pt idx="301">
                  <v>42915</v>
                </pt>
                <pt idx="302">
                  <v>42916</v>
                </pt>
                <pt idx="303">
                  <v>42917</v>
                </pt>
                <pt idx="304">
                  <v>42918</v>
                </pt>
                <pt idx="305">
                  <v>42919</v>
                </pt>
                <pt idx="306">
                  <v>42920</v>
                </pt>
                <pt idx="307">
                  <v>42921</v>
                </pt>
                <pt idx="308">
                  <v>42922</v>
                </pt>
                <pt idx="309">
                  <v>42923</v>
                </pt>
                <pt idx="310">
                  <v>42924</v>
                </pt>
                <pt idx="311">
                  <v>42925</v>
                </pt>
                <pt idx="312">
                  <v>42926</v>
                </pt>
                <pt idx="313">
                  <v>42927</v>
                </pt>
                <pt idx="314">
                  <v>42928</v>
                </pt>
                <pt idx="315">
                  <v>42929</v>
                </pt>
                <pt idx="316">
                  <v>42930</v>
                </pt>
                <pt idx="317">
                  <v>42931</v>
                </pt>
                <pt idx="318">
                  <v>42932</v>
                </pt>
                <pt idx="319">
                  <v>42933</v>
                </pt>
                <pt idx="320">
                  <v>42934</v>
                </pt>
                <pt idx="321">
                  <v>42935</v>
                </pt>
                <pt idx="322">
                  <v>42936</v>
                </pt>
                <pt idx="323">
                  <v>42937</v>
                </pt>
                <pt idx="324">
                  <v>42938</v>
                </pt>
                <pt idx="325">
                  <v>42939</v>
                </pt>
                <pt idx="326">
                  <v>42940</v>
                </pt>
                <pt idx="327">
                  <v>42941</v>
                </pt>
                <pt idx="328">
                  <v>42942</v>
                </pt>
                <pt idx="329">
                  <v>42943</v>
                </pt>
                <pt idx="330">
                  <v>42944</v>
                </pt>
                <pt idx="331">
                  <v>42945</v>
                </pt>
                <pt idx="332">
                  <v>42946</v>
                </pt>
                <pt idx="333">
                  <v>42947</v>
                </pt>
                <pt idx="334">
                  <v>42948</v>
                </pt>
                <pt idx="335">
                  <v>42949</v>
                </pt>
                <pt idx="336">
                  <v>42950</v>
                </pt>
                <pt idx="337">
                  <v>42951</v>
                </pt>
                <pt idx="338">
                  <v>42952</v>
                </pt>
                <pt idx="339">
                  <v>42953</v>
                </pt>
                <pt idx="340">
                  <v>42954</v>
                </pt>
                <pt idx="341">
                  <v>42955</v>
                </pt>
                <pt idx="342">
                  <v>42956</v>
                </pt>
                <pt idx="343">
                  <v>42957</v>
                </pt>
                <pt idx="344">
                  <v>42958</v>
                </pt>
                <pt idx="345">
                  <v>42959</v>
                </pt>
                <pt idx="346">
                  <v>42960</v>
                </pt>
                <pt idx="347">
                  <v>42961</v>
                </pt>
                <pt idx="348">
                  <v>42962</v>
                </pt>
                <pt idx="349">
                  <v>42963</v>
                </pt>
                <pt idx="350">
                  <v>42964</v>
                </pt>
                <pt idx="351">
                  <v>42965</v>
                </pt>
                <pt idx="352">
                  <v>42966</v>
                </pt>
                <pt idx="353">
                  <v>42967</v>
                </pt>
                <pt idx="354">
                  <v>42968</v>
                </pt>
                <pt idx="355">
                  <v>42969</v>
                </pt>
                <pt idx="356">
                  <v>42970</v>
                </pt>
                <pt idx="357">
                  <v>42971</v>
                </pt>
                <pt idx="358">
                  <v>42972</v>
                </pt>
                <pt idx="359">
                  <v>42973</v>
                </pt>
                <pt idx="360">
                  <v>42974</v>
                </pt>
                <pt idx="361">
                  <v>42975</v>
                </pt>
                <pt idx="362">
                  <v>42976</v>
                </pt>
                <pt idx="363">
                  <v>42977</v>
                </pt>
                <pt idx="364">
                  <v>42978</v>
                </pt>
              </numCache>
            </numRef>
          </cat>
          <val>
            <numRef>
              <f>Data!$F$737:$F$1101</f>
              <numCache>
                <formatCode>"$"\ #,##0.00_);[Red]\("$"\ #,##0.00\)</formatCode>
                <ptCount val="365"/>
                <pt idx="0">
                  <v>3053.14</v>
                </pt>
                <pt idx="1">
                  <v>3053.14</v>
                </pt>
                <pt idx="2">
                  <v>3053.14</v>
                </pt>
                <pt idx="3">
                  <v>3053.14</v>
                </pt>
                <pt idx="4">
                  <v>3088.47</v>
                </pt>
                <pt idx="5">
                  <v>3100.37</v>
                </pt>
                <pt idx="6">
                  <v>3089.47</v>
                </pt>
                <pt idx="7">
                  <v>3070.15</v>
                </pt>
                <pt idx="8">
                  <v>3070.15</v>
                </pt>
                <pt idx="9">
                  <v>3070.15</v>
                </pt>
                <pt idx="10">
                  <v>3069.49</v>
                </pt>
                <pt idx="11">
                  <v>3087.73</v>
                </pt>
                <pt idx="12">
                  <v>3055.01</v>
                </pt>
                <pt idx="13">
                  <v>3019.38</v>
                </pt>
                <pt idx="14">
                  <v>3026.05</v>
                </pt>
                <pt idx="15">
                  <v>3026.05</v>
                </pt>
                <pt idx="16">
                  <v>3026.05</v>
                </pt>
                <pt idx="17">
                  <v>3013.38</v>
                </pt>
                <pt idx="18">
                  <v>3007.03</v>
                </pt>
                <pt idx="19">
                  <v>3018.63</v>
                </pt>
                <pt idx="20">
                  <v>3014.18</v>
                </pt>
                <pt idx="21">
                  <v>3006.96</v>
                </pt>
                <pt idx="22">
                  <v>3006.96</v>
                </pt>
                <pt idx="23">
                  <v>3006.96</v>
                </pt>
                <pt idx="24">
                  <v>2991.9</v>
                </pt>
                <pt idx="25">
                  <v>3001.88</v>
                </pt>
                <pt idx="26">
                  <v>3000.14</v>
                </pt>
                <pt idx="27">
                  <v>2989.58</v>
                </pt>
                <pt idx="28">
                  <v>2972.18</v>
                </pt>
                <pt idx="29">
                  <v>2972.18</v>
                </pt>
                <pt idx="30">
                  <v>2972.18</v>
                </pt>
                <pt idx="31">
                  <v>2993.74</v>
                </pt>
                <pt idx="32">
                  <v>3005.5</v>
                </pt>
                <pt idx="33">
                  <v>3012.65</v>
                </pt>
                <pt idx="34">
                  <v>3028.16</v>
                </pt>
                <pt idx="35">
                  <v>3031.31</v>
                </pt>
                <pt idx="36">
                  <v>3031.31</v>
                </pt>
                <pt idx="37">
                  <v>3031.31</v>
                </pt>
                <pt idx="38">
                  <v>3031.31</v>
                </pt>
                <pt idx="39">
                  <v>3057.55</v>
                </pt>
                <pt idx="40">
                  <v>3090.3</v>
                </pt>
                <pt idx="41">
                  <v>3087.34</v>
                </pt>
                <pt idx="42">
                  <v>3088.78</v>
                </pt>
                <pt idx="43">
                  <v>3088.78</v>
                </pt>
                <pt idx="44">
                  <v>3088.78</v>
                </pt>
                <pt idx="45">
                  <v>3088.78</v>
                </pt>
                <pt idx="46">
                  <v>3055.93</v>
                </pt>
                <pt idx="47">
                  <v>3056.37</v>
                </pt>
                <pt idx="48">
                  <v>3088.47</v>
                </pt>
                <pt idx="49">
                  <v>3079.88</v>
                </pt>
                <pt idx="50">
                  <v>3079.88</v>
                </pt>
                <pt idx="51">
                  <v>3079.88</v>
                </pt>
                <pt idx="52">
                  <v>3087.58</v>
                </pt>
                <pt idx="53">
                  <v>3110.2</v>
                </pt>
                <pt idx="54">
                  <v>3149.7</v>
                </pt>
                <pt idx="55">
                  <v>3167.18</v>
                </pt>
                <pt idx="56">
                  <v>3185.26</v>
                </pt>
                <pt idx="57">
                  <v>3185.26</v>
                </pt>
                <pt idx="58">
                  <v>3185.26</v>
                </pt>
                <pt idx="59">
                  <v>3188.69</v>
                </pt>
                <pt idx="60">
                  <v>3202.44</v>
                </pt>
                <pt idx="61">
                  <v>3219.85</v>
                </pt>
                <pt idx="62">
                  <v>3193.8</v>
                </pt>
                <pt idx="63">
                  <v>3177.57</v>
                </pt>
                <pt idx="64">
                  <v>3177.57</v>
                </pt>
                <pt idx="65">
                  <v>3177.57</v>
                </pt>
                <pt idx="66">
                  <v>3177.57</v>
                </pt>
                <pt idx="67">
                  <v>3154.55</v>
                </pt>
                <pt idx="68">
                  <v>3140.25</v>
                </pt>
                <pt idx="69">
                  <v>3145.39</v>
                </pt>
                <pt idx="70">
                  <v>3176.89</v>
                </pt>
                <pt idx="71">
                  <v>3176.89</v>
                </pt>
                <pt idx="72">
                  <v>3176.89</v>
                </pt>
                <pt idx="73">
                  <v>3176.89</v>
                </pt>
                <pt idx="74">
                  <v>3197.2</v>
                </pt>
                <pt idx="75">
                  <v>3194.7</v>
                </pt>
                <pt idx="76">
                  <v>3198.29</v>
                </pt>
                <pt idx="77">
                  <v>3173.59</v>
                </pt>
                <pt idx="78">
                  <v>3173.59</v>
                </pt>
                <pt idx="79">
                  <v>3173.59</v>
                </pt>
                <pt idx="80">
                  <v>3178.81</v>
                </pt>
                <pt idx="81">
                  <v>3189.51</v>
                </pt>
                <pt idx="82">
                  <v>3196.26</v>
                </pt>
                <pt idx="83">
                  <v>3196.26</v>
                </pt>
                <pt idx="84">
                  <v>3223.95</v>
                </pt>
                <pt idx="85">
                  <v>3223.95</v>
                </pt>
                <pt idx="86">
                  <v>3223.95</v>
                </pt>
                <pt idx="87">
                  <v>3240.65</v>
                </pt>
                <pt idx="88">
                  <v>3250.56</v>
                </pt>
                <pt idx="89">
                  <v>3274.47</v>
                </pt>
                <pt idx="90">
                  <v>3240.02</v>
                </pt>
                <pt idx="91">
                  <v>3235.27</v>
                </pt>
                <pt idx="92">
                  <v>3235.27</v>
                </pt>
                <pt idx="93">
                  <v>3235.27</v>
                </pt>
                <pt idx="94">
                  <v>3196.15</v>
                </pt>
                <pt idx="95">
                  <v>3174.11</v>
                </pt>
                <pt idx="96">
                  <v>3162.29</v>
                </pt>
                <pt idx="97">
                  <v>3187.86</v>
                </pt>
                <pt idx="98">
                  <v>3153.29</v>
                </pt>
                <pt idx="99">
                  <v>3153.29</v>
                </pt>
                <pt idx="100">
                  <v>3153.29</v>
                </pt>
                <pt idx="101">
                  <v>3176.12</v>
                </pt>
                <pt idx="102">
                  <v>3184.7</v>
                </pt>
                <pt idx="103">
                  <v>3169.36</v>
                </pt>
                <pt idx="104">
                  <v>3178.4</v>
                </pt>
                <pt idx="105">
                  <v>3196.3</v>
                </pt>
                <pt idx="106">
                  <v>3196.3</v>
                </pt>
                <pt idx="107">
                  <v>3196.3</v>
                </pt>
                <pt idx="108">
                  <v>3188.66</v>
                </pt>
                <pt idx="109">
                  <v>3198.45</v>
                </pt>
                <pt idx="110">
                  <v>3216.55</v>
                </pt>
                <pt idx="111">
                  <v>3246.86</v>
                </pt>
                <pt idx="112">
                  <v>3285.34</v>
                </pt>
                <pt idx="113">
                  <v>3285.34</v>
                </pt>
                <pt idx="114">
                  <v>3285.34</v>
                </pt>
                <pt idx="115">
                  <v>3285.51</v>
                </pt>
                <pt idx="116">
                  <v>3285.51</v>
                </pt>
                <pt idx="117">
                  <v>3289.69</v>
                </pt>
                <pt idx="118">
                  <v>3275.01</v>
                </pt>
                <pt idx="119">
                  <v>3249.75</v>
                </pt>
                <pt idx="120">
                  <v>3249.75</v>
                </pt>
                <pt idx="121">
                  <v>3249.75</v>
                </pt>
                <pt idx="122">
                  <v>3249.75</v>
                </pt>
                <pt idx="123">
                  <v>3249.75</v>
                </pt>
                <pt idx="124">
                  <v>3250.01</v>
                </pt>
                <pt idx="125">
                  <v>3241.2</v>
                </pt>
                <pt idx="126">
                  <v>3208.56</v>
                </pt>
                <pt idx="127">
                  <v>3208.56</v>
                </pt>
                <pt idx="128">
                  <v>3208.56</v>
                </pt>
                <pt idx="129">
                  <v>3208.56</v>
                </pt>
              </numCache>
            </numRef>
          </val>
          <smooth val="0"/>
        </ser>
        <ser>
          <idx val="3"/>
          <order val="3"/>
          <tx>
            <strRef>
              <f>Data!$I$4</f>
              <strCache>
                <ptCount val="1"/>
                <pt idx="0">
                  <v>Budget FY19</v>
                </pt>
              </strCache>
            </strRef>
          </tx>
          <spPr>
            <a:ln xmlns:a="http://schemas.openxmlformats.org/drawingml/2006/main" cap="rnd" w="25400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Data!$I$737:$I$1101</f>
              <numCache>
                <formatCode>"$"\ #,##0_);[Red]\("$"\ #,##0\)</formatCode>
                <ptCount val="365"/>
                <pt idx="0">
                  <v>2850</v>
                </pt>
                <pt idx="1">
                  <v>2850</v>
                </pt>
                <pt idx="2">
                  <v>2850</v>
                </pt>
                <pt idx="3">
                  <v>2850</v>
                </pt>
                <pt idx="4">
                  <v>2850</v>
                </pt>
                <pt idx="5">
                  <v>2850</v>
                </pt>
                <pt idx="6">
                  <v>2850</v>
                </pt>
                <pt idx="7">
                  <v>2850</v>
                </pt>
                <pt idx="8">
                  <v>2850</v>
                </pt>
                <pt idx="9">
                  <v>2850</v>
                </pt>
                <pt idx="10">
                  <v>2850</v>
                </pt>
                <pt idx="11">
                  <v>2850</v>
                </pt>
                <pt idx="12">
                  <v>2850</v>
                </pt>
                <pt idx="13">
                  <v>2850</v>
                </pt>
                <pt idx="14">
                  <v>2850</v>
                </pt>
                <pt idx="15">
                  <v>2850</v>
                </pt>
                <pt idx="16">
                  <v>2850</v>
                </pt>
                <pt idx="17">
                  <v>2850</v>
                </pt>
                <pt idx="18">
                  <v>2850</v>
                </pt>
                <pt idx="19">
                  <v>2850</v>
                </pt>
                <pt idx="20">
                  <v>2850</v>
                </pt>
                <pt idx="21">
                  <v>2850</v>
                </pt>
                <pt idx="22">
                  <v>2850</v>
                </pt>
                <pt idx="23">
                  <v>2850</v>
                </pt>
                <pt idx="24">
                  <v>2850</v>
                </pt>
                <pt idx="25">
                  <v>2850</v>
                </pt>
                <pt idx="26">
                  <v>2850</v>
                </pt>
                <pt idx="27">
                  <v>2850</v>
                </pt>
                <pt idx="28">
                  <v>2850</v>
                </pt>
                <pt idx="29">
                  <v>2850</v>
                </pt>
                <pt idx="30">
                  <v>2850</v>
                </pt>
                <pt idx="31">
                  <v>2850</v>
                </pt>
                <pt idx="32">
                  <v>2850</v>
                </pt>
                <pt idx="33">
                  <v>2850</v>
                </pt>
                <pt idx="34">
                  <v>2850</v>
                </pt>
                <pt idx="35">
                  <v>2850</v>
                </pt>
                <pt idx="36">
                  <v>2850</v>
                </pt>
                <pt idx="37">
                  <v>2850</v>
                </pt>
                <pt idx="38">
                  <v>2850</v>
                </pt>
                <pt idx="39">
                  <v>2850</v>
                </pt>
                <pt idx="40">
                  <v>2850</v>
                </pt>
                <pt idx="41">
                  <v>2850</v>
                </pt>
                <pt idx="42">
                  <v>2850</v>
                </pt>
                <pt idx="43">
                  <v>2850</v>
                </pt>
                <pt idx="44">
                  <v>2850</v>
                </pt>
                <pt idx="45">
                  <v>2850</v>
                </pt>
                <pt idx="46">
                  <v>2850</v>
                </pt>
                <pt idx="47">
                  <v>2850</v>
                </pt>
                <pt idx="48">
                  <v>2850</v>
                </pt>
                <pt idx="49">
                  <v>2850</v>
                </pt>
                <pt idx="50">
                  <v>2850</v>
                </pt>
                <pt idx="51">
                  <v>2850</v>
                </pt>
                <pt idx="52">
                  <v>2850</v>
                </pt>
                <pt idx="53">
                  <v>2850</v>
                </pt>
                <pt idx="54">
                  <v>2850</v>
                </pt>
                <pt idx="55">
                  <v>2850</v>
                </pt>
                <pt idx="56">
                  <v>2850</v>
                </pt>
                <pt idx="57">
                  <v>2850</v>
                </pt>
                <pt idx="58">
                  <v>2850</v>
                </pt>
                <pt idx="59">
                  <v>2850</v>
                </pt>
                <pt idx="60">
                  <v>2850</v>
                </pt>
                <pt idx="61">
                  <v>2850</v>
                </pt>
                <pt idx="62">
                  <v>2850</v>
                </pt>
                <pt idx="63">
                  <v>2850</v>
                </pt>
                <pt idx="64">
                  <v>2850</v>
                </pt>
                <pt idx="65">
                  <v>2850</v>
                </pt>
                <pt idx="66">
                  <v>2850</v>
                </pt>
                <pt idx="67">
                  <v>2850</v>
                </pt>
                <pt idx="68">
                  <v>2850</v>
                </pt>
                <pt idx="69">
                  <v>2850</v>
                </pt>
                <pt idx="70">
                  <v>2850</v>
                </pt>
                <pt idx="71">
                  <v>2850</v>
                </pt>
                <pt idx="72">
                  <v>2850</v>
                </pt>
                <pt idx="73">
                  <v>2850</v>
                </pt>
                <pt idx="74">
                  <v>2850</v>
                </pt>
                <pt idx="75">
                  <v>2850</v>
                </pt>
                <pt idx="76">
                  <v>2850</v>
                </pt>
                <pt idx="77">
                  <v>2850</v>
                </pt>
                <pt idx="78">
                  <v>2850</v>
                </pt>
                <pt idx="79">
                  <v>2850</v>
                </pt>
                <pt idx="80">
                  <v>2850</v>
                </pt>
                <pt idx="81">
                  <v>2850</v>
                </pt>
                <pt idx="82">
                  <v>2850</v>
                </pt>
                <pt idx="83">
                  <v>2850</v>
                </pt>
                <pt idx="84">
                  <v>2850</v>
                </pt>
                <pt idx="85">
                  <v>2850</v>
                </pt>
                <pt idx="86">
                  <v>2850</v>
                </pt>
                <pt idx="87">
                  <v>2850</v>
                </pt>
                <pt idx="88">
                  <v>2850</v>
                </pt>
                <pt idx="89">
                  <v>2850</v>
                </pt>
                <pt idx="90">
                  <v>2850</v>
                </pt>
                <pt idx="91">
                  <v>2850</v>
                </pt>
                <pt idx="92">
                  <v>2850</v>
                </pt>
                <pt idx="93">
                  <v>2850</v>
                </pt>
                <pt idx="94">
                  <v>2850</v>
                </pt>
                <pt idx="95">
                  <v>2850</v>
                </pt>
                <pt idx="96">
                  <v>2850</v>
                </pt>
                <pt idx="97">
                  <v>2850</v>
                </pt>
                <pt idx="98">
                  <v>2850</v>
                </pt>
                <pt idx="99">
                  <v>2850</v>
                </pt>
                <pt idx="100">
                  <v>2850</v>
                </pt>
                <pt idx="101">
                  <v>2850</v>
                </pt>
                <pt idx="102">
                  <v>2850</v>
                </pt>
                <pt idx="103">
                  <v>2850</v>
                </pt>
                <pt idx="104">
                  <v>2850</v>
                </pt>
                <pt idx="105">
                  <v>2850</v>
                </pt>
                <pt idx="106">
                  <v>2850</v>
                </pt>
                <pt idx="107">
                  <v>2850</v>
                </pt>
                <pt idx="108">
                  <v>2850</v>
                </pt>
                <pt idx="109">
                  <v>2850</v>
                </pt>
                <pt idx="110">
                  <v>2850</v>
                </pt>
                <pt idx="111">
                  <v>2850</v>
                </pt>
                <pt idx="112">
                  <v>2850</v>
                </pt>
                <pt idx="113">
                  <v>2850</v>
                </pt>
                <pt idx="114">
                  <v>2850</v>
                </pt>
                <pt idx="115">
                  <v>2850</v>
                </pt>
                <pt idx="116">
                  <v>2850</v>
                </pt>
                <pt idx="117">
                  <v>2850</v>
                </pt>
                <pt idx="118">
                  <v>2850</v>
                </pt>
                <pt idx="119">
                  <v>2850</v>
                </pt>
                <pt idx="120">
                  <v>2850</v>
                </pt>
                <pt idx="121">
                  <v>2850</v>
                </pt>
                <pt idx="122">
                  <v>2850</v>
                </pt>
                <pt idx="123">
                  <v>2850</v>
                </pt>
                <pt idx="124">
                  <v>2850</v>
                </pt>
                <pt idx="125">
                  <v>2850</v>
                </pt>
                <pt idx="126">
                  <v>2850</v>
                </pt>
                <pt idx="127">
                  <v>2850</v>
                </pt>
                <pt idx="128">
                  <v>2850</v>
                </pt>
                <pt idx="129">
                  <v>2850</v>
                </pt>
                <pt idx="130">
                  <v>2850</v>
                </pt>
                <pt idx="131">
                  <v>2850</v>
                </pt>
                <pt idx="132">
                  <v>2850</v>
                </pt>
                <pt idx="133">
                  <v>2850</v>
                </pt>
                <pt idx="134">
                  <v>2850</v>
                </pt>
                <pt idx="135">
                  <v>2850</v>
                </pt>
                <pt idx="136">
                  <v>2850</v>
                </pt>
                <pt idx="137">
                  <v>2850</v>
                </pt>
                <pt idx="138">
                  <v>2850</v>
                </pt>
                <pt idx="139">
                  <v>2850</v>
                </pt>
                <pt idx="140">
                  <v>2850</v>
                </pt>
                <pt idx="141">
                  <v>2850</v>
                </pt>
                <pt idx="142">
                  <v>2850</v>
                </pt>
                <pt idx="143">
                  <v>2850</v>
                </pt>
                <pt idx="144">
                  <v>2850</v>
                </pt>
                <pt idx="145">
                  <v>2850</v>
                </pt>
                <pt idx="146">
                  <v>2850</v>
                </pt>
                <pt idx="147">
                  <v>2850</v>
                </pt>
                <pt idx="148">
                  <v>2850</v>
                </pt>
                <pt idx="149">
                  <v>2850</v>
                </pt>
                <pt idx="150">
                  <v>2850</v>
                </pt>
                <pt idx="151">
                  <v>2850</v>
                </pt>
                <pt idx="152">
                  <v>2850</v>
                </pt>
                <pt idx="153">
                  <v>2850</v>
                </pt>
                <pt idx="154">
                  <v>2850</v>
                </pt>
                <pt idx="155">
                  <v>2850</v>
                </pt>
                <pt idx="156">
                  <v>2850</v>
                </pt>
                <pt idx="157">
                  <v>2850</v>
                </pt>
                <pt idx="158">
                  <v>2850</v>
                </pt>
                <pt idx="159">
                  <v>2850</v>
                </pt>
                <pt idx="160">
                  <v>2850</v>
                </pt>
                <pt idx="161">
                  <v>2850</v>
                </pt>
                <pt idx="162">
                  <v>2850</v>
                </pt>
                <pt idx="163">
                  <v>2850</v>
                </pt>
                <pt idx="164">
                  <v>2850</v>
                </pt>
                <pt idx="165">
                  <v>2850</v>
                </pt>
                <pt idx="166">
                  <v>2850</v>
                </pt>
                <pt idx="167">
                  <v>2850</v>
                </pt>
                <pt idx="168">
                  <v>2850</v>
                </pt>
                <pt idx="169">
                  <v>2850</v>
                </pt>
                <pt idx="170">
                  <v>2850</v>
                </pt>
                <pt idx="171">
                  <v>2850</v>
                </pt>
                <pt idx="172">
                  <v>2850</v>
                </pt>
                <pt idx="173">
                  <v>2850</v>
                </pt>
                <pt idx="174">
                  <v>2850</v>
                </pt>
                <pt idx="175">
                  <v>2850</v>
                </pt>
                <pt idx="176">
                  <v>2850</v>
                </pt>
                <pt idx="177">
                  <v>2850</v>
                </pt>
                <pt idx="178">
                  <v>2850</v>
                </pt>
                <pt idx="179">
                  <v>2850</v>
                </pt>
                <pt idx="180">
                  <v>2850</v>
                </pt>
                <pt idx="181">
                  <v>2850</v>
                </pt>
                <pt idx="182">
                  <v>2850</v>
                </pt>
                <pt idx="183">
                  <v>2850</v>
                </pt>
                <pt idx="184">
                  <v>2850</v>
                </pt>
                <pt idx="185">
                  <v>2850</v>
                </pt>
                <pt idx="186">
                  <v>2850</v>
                </pt>
                <pt idx="187">
                  <v>2850</v>
                </pt>
                <pt idx="188">
                  <v>2850</v>
                </pt>
                <pt idx="189">
                  <v>2850</v>
                </pt>
                <pt idx="190">
                  <v>2850</v>
                </pt>
                <pt idx="191">
                  <v>2850</v>
                </pt>
                <pt idx="192">
                  <v>2850</v>
                </pt>
                <pt idx="193">
                  <v>2850</v>
                </pt>
                <pt idx="194">
                  <v>2850</v>
                </pt>
                <pt idx="195">
                  <v>2850</v>
                </pt>
                <pt idx="196">
                  <v>2850</v>
                </pt>
                <pt idx="197">
                  <v>2850</v>
                </pt>
                <pt idx="198">
                  <v>2850</v>
                </pt>
                <pt idx="199">
                  <v>2850</v>
                </pt>
                <pt idx="200">
                  <v>2850</v>
                </pt>
                <pt idx="201">
                  <v>2850</v>
                </pt>
                <pt idx="202">
                  <v>2850</v>
                </pt>
                <pt idx="203">
                  <v>2850</v>
                </pt>
                <pt idx="204">
                  <v>2850</v>
                </pt>
                <pt idx="205">
                  <v>2850</v>
                </pt>
                <pt idx="206">
                  <v>2850</v>
                </pt>
                <pt idx="207">
                  <v>2850</v>
                </pt>
                <pt idx="208">
                  <v>2850</v>
                </pt>
                <pt idx="209">
                  <v>2850</v>
                </pt>
                <pt idx="210">
                  <v>2850</v>
                </pt>
                <pt idx="211">
                  <v>2850</v>
                </pt>
                <pt idx="212">
                  <v>2850</v>
                </pt>
                <pt idx="213">
                  <v>2850</v>
                </pt>
                <pt idx="214">
                  <v>2850</v>
                </pt>
                <pt idx="215">
                  <v>2850</v>
                </pt>
                <pt idx="216">
                  <v>2850</v>
                </pt>
                <pt idx="217">
                  <v>2850</v>
                </pt>
                <pt idx="218">
                  <v>2850</v>
                </pt>
                <pt idx="219">
                  <v>2850</v>
                </pt>
                <pt idx="220">
                  <v>2850</v>
                </pt>
                <pt idx="221">
                  <v>2850</v>
                </pt>
                <pt idx="222">
                  <v>2850</v>
                </pt>
                <pt idx="223">
                  <v>2850</v>
                </pt>
                <pt idx="224">
                  <v>2850</v>
                </pt>
                <pt idx="225">
                  <v>2850</v>
                </pt>
                <pt idx="226">
                  <v>2850</v>
                </pt>
                <pt idx="227">
                  <v>2850</v>
                </pt>
                <pt idx="228">
                  <v>2850</v>
                </pt>
                <pt idx="229">
                  <v>2850</v>
                </pt>
                <pt idx="230">
                  <v>2850</v>
                </pt>
                <pt idx="231">
                  <v>2850</v>
                </pt>
                <pt idx="232">
                  <v>2850</v>
                </pt>
                <pt idx="233">
                  <v>2850</v>
                </pt>
                <pt idx="234">
                  <v>2850</v>
                </pt>
                <pt idx="235">
                  <v>2850</v>
                </pt>
                <pt idx="236">
                  <v>2850</v>
                </pt>
                <pt idx="237">
                  <v>2850</v>
                </pt>
                <pt idx="238">
                  <v>2850</v>
                </pt>
                <pt idx="239">
                  <v>2850</v>
                </pt>
                <pt idx="240">
                  <v>2850</v>
                </pt>
                <pt idx="241">
                  <v>2850</v>
                </pt>
                <pt idx="242">
                  <v>2850</v>
                </pt>
                <pt idx="243">
                  <v>2850</v>
                </pt>
                <pt idx="244">
                  <v>2850</v>
                </pt>
                <pt idx="245">
                  <v>2850</v>
                </pt>
                <pt idx="246">
                  <v>2850</v>
                </pt>
                <pt idx="247">
                  <v>2850</v>
                </pt>
                <pt idx="248">
                  <v>2850</v>
                </pt>
                <pt idx="249">
                  <v>2850</v>
                </pt>
                <pt idx="250">
                  <v>2850</v>
                </pt>
                <pt idx="251">
                  <v>2850</v>
                </pt>
                <pt idx="252">
                  <v>2850</v>
                </pt>
                <pt idx="253">
                  <v>2850</v>
                </pt>
                <pt idx="254">
                  <v>2850</v>
                </pt>
                <pt idx="255">
                  <v>2850</v>
                </pt>
                <pt idx="256">
                  <v>2850</v>
                </pt>
                <pt idx="257">
                  <v>2850</v>
                </pt>
                <pt idx="258">
                  <v>2850</v>
                </pt>
                <pt idx="259">
                  <v>2850</v>
                </pt>
                <pt idx="260">
                  <v>2850</v>
                </pt>
                <pt idx="261">
                  <v>2850</v>
                </pt>
                <pt idx="262">
                  <v>2850</v>
                </pt>
                <pt idx="263">
                  <v>2850</v>
                </pt>
                <pt idx="264">
                  <v>2850</v>
                </pt>
                <pt idx="265">
                  <v>2850</v>
                </pt>
                <pt idx="266">
                  <v>2850</v>
                </pt>
                <pt idx="267">
                  <v>2850</v>
                </pt>
                <pt idx="268">
                  <v>2850</v>
                </pt>
                <pt idx="269">
                  <v>2850</v>
                </pt>
                <pt idx="270">
                  <v>2850</v>
                </pt>
                <pt idx="271">
                  <v>2850</v>
                </pt>
                <pt idx="272">
                  <v>2850</v>
                </pt>
                <pt idx="273">
                  <v>2850</v>
                </pt>
                <pt idx="274">
                  <v>2850</v>
                </pt>
                <pt idx="275">
                  <v>2850</v>
                </pt>
                <pt idx="276">
                  <v>2850</v>
                </pt>
                <pt idx="277">
                  <v>2850</v>
                </pt>
                <pt idx="278">
                  <v>2850</v>
                </pt>
                <pt idx="279">
                  <v>2850</v>
                </pt>
                <pt idx="280">
                  <v>2850</v>
                </pt>
                <pt idx="281">
                  <v>2850</v>
                </pt>
                <pt idx="282">
                  <v>2850</v>
                </pt>
                <pt idx="283">
                  <v>2850</v>
                </pt>
                <pt idx="284">
                  <v>2850</v>
                </pt>
                <pt idx="285">
                  <v>2850</v>
                </pt>
                <pt idx="286">
                  <v>2850</v>
                </pt>
                <pt idx="287">
                  <v>2850</v>
                </pt>
                <pt idx="288">
                  <v>2850</v>
                </pt>
                <pt idx="289">
                  <v>2850</v>
                </pt>
                <pt idx="290">
                  <v>2850</v>
                </pt>
                <pt idx="291">
                  <v>2850</v>
                </pt>
                <pt idx="292">
                  <v>2850</v>
                </pt>
                <pt idx="293">
                  <v>2850</v>
                </pt>
                <pt idx="294">
                  <v>2850</v>
                </pt>
                <pt idx="295">
                  <v>2850</v>
                </pt>
                <pt idx="296">
                  <v>2850</v>
                </pt>
                <pt idx="297">
                  <v>2850</v>
                </pt>
                <pt idx="298">
                  <v>2850</v>
                </pt>
                <pt idx="299">
                  <v>2850</v>
                </pt>
                <pt idx="300">
                  <v>2850</v>
                </pt>
                <pt idx="301">
                  <v>2850</v>
                </pt>
                <pt idx="302">
                  <v>2850</v>
                </pt>
                <pt idx="303">
                  <v>2850</v>
                </pt>
                <pt idx="304">
                  <v>2850</v>
                </pt>
                <pt idx="305">
                  <v>2850</v>
                </pt>
                <pt idx="306">
                  <v>2850</v>
                </pt>
                <pt idx="307">
                  <v>2850</v>
                </pt>
                <pt idx="308">
                  <v>2850</v>
                </pt>
                <pt idx="309">
                  <v>2850</v>
                </pt>
                <pt idx="310">
                  <v>2850</v>
                </pt>
                <pt idx="311">
                  <v>2850</v>
                </pt>
                <pt idx="312">
                  <v>2850</v>
                </pt>
                <pt idx="313">
                  <v>2850</v>
                </pt>
                <pt idx="314">
                  <v>2850</v>
                </pt>
                <pt idx="315">
                  <v>2850</v>
                </pt>
                <pt idx="316">
                  <v>2850</v>
                </pt>
                <pt idx="317">
                  <v>2850</v>
                </pt>
                <pt idx="318">
                  <v>2850</v>
                </pt>
                <pt idx="319">
                  <v>2850</v>
                </pt>
                <pt idx="320">
                  <v>2850</v>
                </pt>
                <pt idx="321">
                  <v>2850</v>
                </pt>
                <pt idx="322">
                  <v>2850</v>
                </pt>
                <pt idx="323">
                  <v>2850</v>
                </pt>
                <pt idx="324">
                  <v>2850</v>
                </pt>
                <pt idx="325">
                  <v>2850</v>
                </pt>
                <pt idx="326">
                  <v>2850</v>
                </pt>
                <pt idx="327">
                  <v>2850</v>
                </pt>
                <pt idx="328">
                  <v>2850</v>
                </pt>
                <pt idx="329">
                  <v>2850</v>
                </pt>
                <pt idx="330">
                  <v>2850</v>
                </pt>
                <pt idx="331">
                  <v>2850</v>
                </pt>
                <pt idx="332">
                  <v>2850</v>
                </pt>
                <pt idx="333">
                  <v>2850</v>
                </pt>
                <pt idx="334">
                  <v>2850</v>
                </pt>
                <pt idx="335">
                  <v>2850</v>
                </pt>
                <pt idx="336">
                  <v>2850</v>
                </pt>
                <pt idx="337">
                  <v>2850</v>
                </pt>
                <pt idx="338">
                  <v>2850</v>
                </pt>
                <pt idx="339">
                  <v>2850</v>
                </pt>
                <pt idx="340">
                  <v>2850</v>
                </pt>
                <pt idx="341">
                  <v>2850</v>
                </pt>
                <pt idx="342">
                  <v>2850</v>
                </pt>
                <pt idx="343">
                  <v>2850</v>
                </pt>
                <pt idx="344">
                  <v>2850</v>
                </pt>
                <pt idx="345">
                  <v>2850</v>
                </pt>
                <pt idx="346">
                  <v>2850</v>
                </pt>
                <pt idx="347">
                  <v>2850</v>
                </pt>
                <pt idx="348">
                  <v>2850</v>
                </pt>
                <pt idx="349">
                  <v>2850</v>
                </pt>
                <pt idx="350">
                  <v>2850</v>
                </pt>
                <pt idx="351">
                  <v>2850</v>
                </pt>
                <pt idx="352">
                  <v>2850</v>
                </pt>
                <pt idx="353">
                  <v>2850</v>
                </pt>
                <pt idx="354">
                  <v>2850</v>
                </pt>
                <pt idx="355">
                  <v>2850</v>
                </pt>
                <pt idx="356">
                  <v>2850</v>
                </pt>
                <pt idx="357">
                  <v>2850</v>
                </pt>
                <pt idx="358">
                  <v>2850</v>
                </pt>
                <pt idx="359">
                  <v>2850</v>
                </pt>
                <pt idx="360">
                  <v>2850</v>
                </pt>
                <pt idx="361">
                  <v>2850</v>
                </pt>
                <pt idx="362">
                  <v>2850</v>
                </pt>
                <pt idx="363">
                  <v>2850</v>
                </pt>
                <pt idx="364">
                  <v>2850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22264720"/>
        <axId val="1622263056"/>
      </lineChart>
      <dateAx>
        <axId val="1622264720"/>
        <scaling>
          <orientation val="minMax"/>
        </scaling>
        <delete val="0"/>
        <axPos val="b"/>
        <numFmt formatCode="[$-409]d\-mmm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algn="ctr" cap="flat" cmpd="sng" w="12700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anchor="ctr" anchorCtr="1" rot="-60000000" spcFirstLastPara="1" vert="horz" vertOverflow="ellipsis" wrap="square"/>
          <a:lstStyle xmlns:a="http://schemas.openxmlformats.org/drawingml/2006/main"/>
          <a:p xmlns:a="http://schemas.openxmlformats.org/drawingml/2006/main"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22263056"/>
        <crosses val="autoZero"/>
        <lblOffset val="100"/>
        <baseTimeUnit val="days"/>
      </dateAx>
      <valAx>
        <axId val="1622263056"/>
        <scaling>
          <orientation val="minMax"/>
          <min val="2680"/>
        </scaling>
        <delete val="0"/>
        <axPos val="l"/>
        <majorGridlines>
          <spPr>
            <a:ln xmlns:a="http://schemas.openxmlformats.org/drawingml/2006/main" algn="ctr" cap="flat" cmpd="sng" w="9525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\ #,##0.00_);[Red]\(&quot;$&quot;\ #,##0.00\)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anchor="ctr" anchorCtr="1" rot="-60000000" spcFirstLastPara="1" vert="horz" vertOverflow="ellipsis" wrap="square"/>
          <a:lstStyle xmlns:a="http://schemas.openxmlformats.org/drawingml/2006/main"/>
          <a:p xmlns:a="http://schemas.openxmlformats.org/drawingml/2006/main">
            <a:pPr>
              <a:defRPr b="0" baseline="0" i="0" kern="120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22264720"/>
        <crosses val="autoZero"/>
        <crossBetween val="between"/>
      </valAx>
    </plotArea>
    <legend>
      <legendPos val="b"/>
      <layout>
        <manualLayout>
          <xMode val="edge"/>
          <yMode val="edge"/>
          <x val="0.3760251061297812"/>
          <y val="0.9454417322834646"/>
          <w val="0.2687413003263891"/>
          <h val="0.0545582512125132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anchor="ctr" anchorCtr="1" rot="0" spcFirstLastPara="1" vert="horz" vertOverflow="ellipsis" wrap="square"/>
        <a:lstStyle xmlns:a="http://schemas.openxmlformats.org/drawingml/2006/main"/>
        <a:p xmlns:a="http://schemas.openxmlformats.org/drawingml/2006/main">
          <a:pPr>
            <a:defRPr b="0" baseline="0" i="0" kern="1200" strike="noStrike" sz="10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/><Relationship Id="rId2" Target="/xl/media/image1.png" Type="http://schemas.openxmlformats.org/officeDocument/2006/relationships/image"/></Relationships>
</file>

<file path=xl/drawings/drawing1.xml><?xml version="1.0" encoding="utf-8"?>
<wsDr xmlns="http://schemas.openxmlformats.org/drawingml/2006/spreadsheetDrawing">
  <twoCellAnchor>
    <from>
      <col>9</col>
      <colOff>47626</colOff>
      <row>736</row>
      <rowOff>66675</rowOff>
    </from>
    <to>
      <col>22</col>
      <colOff>685800</colOff>
      <row>754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440876</colOff>
      <row>0</row>
      <rowOff>114302</rowOff>
    </from>
    <to>
      <col>7</col>
      <colOff>428626</colOff>
      <row>2</row>
      <rowOff>68516</rowOff>
    </to>
    <pic>
      <nvPicPr>
        <cNvPr descr="Resultado de imagen para bandera de colombia" id="4" name="Picture 3"/>
        <cNvPicPr>
          <a:picLocks xmlns:a="http://schemas.openxmlformats.org/drawingml/2006/main" noChangeArrowheads="1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93551" y="114302"/>
          <a:ext cx="521150" cy="3161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://www.banrep.gov.co/es/tasa-cambio-del-peso-colombiano-trm" TargetMode="External" Type="http://schemas.openxmlformats.org/officeDocument/2006/relationships/hyperlink"/><Relationship Id="rId2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101"/>
  <sheetViews>
    <sheetView showGridLines="0" tabSelected="1" workbookViewId="0" zoomScaleNormal="100">
      <pane activePane="bottomLeft" state="frozen" topLeftCell="A5" ySplit="4"/>
      <selection activeCell="N1" pane="bottomLeft" sqref="N1:Q1"/>
    </sheetView>
  </sheetViews>
  <sheetFormatPr baseColWidth="8" defaultColWidth="11.453125" defaultRowHeight="14.5" outlineLevelCol="0"/>
  <cols>
    <col customWidth="1" max="1" min="1" style="71" width="0.453125"/>
    <col customWidth="1" max="2" min="2" style="64" width="0.453125"/>
    <col customWidth="1" max="3" min="3" style="64" width="8.453125"/>
    <col customWidth="1" max="5" min="4" style="64" width="8.54296875"/>
    <col bestFit="1" customWidth="1" max="6" min="6" style="64" width="9.54296875"/>
    <col customWidth="1" max="7" min="7" style="67" width="8"/>
    <col customWidth="1" max="8" min="8" style="67" width="7.26953125"/>
    <col customWidth="1" max="9" min="9" style="64" width="0.54296875"/>
    <col bestFit="1" customWidth="1" max="10" min="10" style="64" width="9.26953125"/>
    <col bestFit="1" customWidth="1" max="11" min="11" style="63" width="9.26953125"/>
    <col bestFit="1" customWidth="1" max="12" min="12" style="63" width="7.81640625"/>
    <col bestFit="1" customWidth="1" max="13" min="13" style="63" width="8.7265625"/>
    <col bestFit="1" customWidth="1" max="14" min="14" style="63" width="9.453125"/>
    <col bestFit="1" customWidth="1" max="15" min="15" style="63" width="8.7265625"/>
    <col bestFit="1" customWidth="1" max="16" min="16" style="63" width="7.1796875"/>
    <col bestFit="1" customWidth="1" max="17" min="17" style="63" width="8.1796875"/>
    <col bestFit="1" customWidth="1" max="18" min="18" style="63" width="16.26953125"/>
    <col customWidth="1" max="21" min="19" style="63" width="11.453125"/>
    <col bestFit="1" customWidth="1" max="22" min="22" style="63" width="19.54296875"/>
  </cols>
  <sheetData>
    <row customHeight="1" ht="15" r="1" s="64" spans="1:23" thickBot="1">
      <c r="A1" s="70" t="s">
        <v>0</v>
      </c>
      <c r="J1" s="72" t="s">
        <v>1</v>
      </c>
      <c r="N1" s="72" t="s">
        <v>2</v>
      </c>
      <c r="R1" s="14" t="s">
        <v>3</v>
      </c>
    </row>
    <row customHeight="1" ht="12.75" r="2" s="64" spans="1:23">
      <c r="J2" s="15" t="n">
        <v>43109</v>
      </c>
      <c r="K2" s="16" t="n">
        <v>43474</v>
      </c>
      <c r="L2" s="68" t="s">
        <v>4</v>
      </c>
      <c r="M2" s="12" t="s">
        <v>5</v>
      </c>
      <c r="N2" s="13" t="s">
        <v>6</v>
      </c>
      <c r="O2" s="68" t="s">
        <v>7</v>
      </c>
      <c r="P2" s="68" t="s">
        <v>4</v>
      </c>
      <c r="Q2" s="12" t="s">
        <v>5</v>
      </c>
      <c r="R2" s="73" t="n">
        <v>2850</v>
      </c>
      <c r="T2" s="62" t="s">
        <v>8</v>
      </c>
    </row>
    <row customHeight="1" ht="14.25" r="3" s="64" spans="1:23" thickBot="1">
      <c r="J3" s="23" t="n">
        <v>2898.32</v>
      </c>
      <c r="K3" s="24" t="n">
        <v>3164.75</v>
      </c>
      <c r="L3" s="17" t="n">
        <v>0.09192566728311569</v>
      </c>
      <c r="M3" s="18" t="n">
        <v>0.110438596491228</v>
      </c>
      <c r="N3" s="23" t="n">
        <v>2868.572258064515</v>
      </c>
      <c r="O3" s="24" t="n">
        <v>3216.21</v>
      </c>
      <c r="P3" s="19" t="n">
        <v>0.121188420810443</v>
      </c>
      <c r="Q3" s="20" t="n">
        <v>0.1284947368421052</v>
      </c>
    </row>
    <row customHeight="1" ht="9" r="4" s="64" spans="1:23">
      <c r="A4" s="69" t="s">
        <v>9</v>
      </c>
      <c r="C4" s="68" t="s">
        <v>6</v>
      </c>
      <c r="E4" s="68" t="s">
        <v>7</v>
      </c>
      <c r="G4" s="66" t="s">
        <v>10</v>
      </c>
      <c r="I4" s="5" t="s">
        <v>3</v>
      </c>
    </row>
    <row hidden="1" r="5" s="64" spans="1:23">
      <c r="A5" s="2" t="s">
        <v>11</v>
      </c>
      <c r="B5" s="3" t="s">
        <v>12</v>
      </c>
      <c r="C5" s="2" t="s">
        <v>11</v>
      </c>
      <c r="D5" s="2" t="s">
        <v>12</v>
      </c>
      <c r="E5" s="2" t="n"/>
      <c r="F5" s="2" t="n"/>
      <c r="G5" s="9" t="s">
        <v>13</v>
      </c>
      <c r="H5" s="9" t="s">
        <v>14</v>
      </c>
      <c r="I5" s="6" t="n"/>
      <c r="J5" s="1" t="n">
        <v>42822</v>
      </c>
      <c r="K5" s="25" t="n">
        <v>2913.48</v>
      </c>
      <c r="L5" s="1" t="n">
        <v>43187</v>
      </c>
      <c r="M5" s="25" t="n">
        <v>2780.04</v>
      </c>
      <c r="N5" s="26">
        <f>M5-K5</f>
        <v/>
      </c>
      <c r="O5" s="7">
        <f>(M5/K5)-1</f>
        <v/>
      </c>
      <c r="P5" s="4" t="n"/>
    </row>
    <row hidden="1" r="6" s="64" spans="1:23">
      <c r="A6" s="1" t="n">
        <v>41883</v>
      </c>
      <c r="B6" s="27" t="n">
        <v>1918.62</v>
      </c>
      <c r="C6" s="1" t="n">
        <v>42248</v>
      </c>
      <c r="D6" s="25" t="n">
        <v>3079.97</v>
      </c>
      <c r="E6" s="25" t="n"/>
      <c r="F6" s="25" t="n"/>
      <c r="G6" s="28">
        <f>D6-B6</f>
        <v/>
      </c>
      <c r="H6" s="10">
        <f>(D6/B6)-1</f>
        <v/>
      </c>
      <c r="I6" s="7" t="n"/>
      <c r="J6" s="1" t="n">
        <v>42822</v>
      </c>
      <c r="K6" s="25" t="n">
        <v>2913.48</v>
      </c>
      <c r="L6" s="1" t="n">
        <v>43187</v>
      </c>
      <c r="M6" s="25" t="n">
        <v>2780.04</v>
      </c>
      <c r="N6" s="26">
        <f>M6-K6</f>
        <v/>
      </c>
      <c r="O6" s="7">
        <f>(M6/K6)-1</f>
        <v/>
      </c>
      <c r="P6" s="4" t="n"/>
    </row>
    <row hidden="1" r="7" s="64" spans="1:23">
      <c r="A7" s="1" t="n">
        <v>41884</v>
      </c>
      <c r="B7" s="27" t="n">
        <v>1918.62</v>
      </c>
      <c r="C7" s="1" t="n">
        <v>42249</v>
      </c>
      <c r="D7" s="25" t="n">
        <v>3093.64</v>
      </c>
      <c r="E7" s="25" t="n"/>
      <c r="F7" s="25" t="n"/>
      <c r="G7" s="28">
        <f>D7-B7</f>
        <v/>
      </c>
      <c r="H7" s="10">
        <f>(D7/B7)-1</f>
        <v/>
      </c>
      <c r="I7" s="7" t="n"/>
      <c r="J7" s="1" t="n">
        <v>42822</v>
      </c>
      <c r="K7" s="25" t="n">
        <v>2913.48</v>
      </c>
      <c r="L7" s="1" t="n">
        <v>43187</v>
      </c>
      <c r="M7" s="25" t="n">
        <v>2780.04</v>
      </c>
      <c r="N7" s="26">
        <f>M7-K7</f>
        <v/>
      </c>
      <c r="O7" s="7">
        <f>(M7/K7)-1</f>
        <v/>
      </c>
      <c r="P7" s="4" t="n"/>
    </row>
    <row hidden="1" r="8" s="64" spans="1:23">
      <c r="A8" s="1" t="n">
        <v>41885</v>
      </c>
      <c r="B8" s="27" t="n">
        <v>1931.49</v>
      </c>
      <c r="C8" s="1" t="n">
        <v>42250</v>
      </c>
      <c r="D8" s="25" t="n">
        <v>3142.34</v>
      </c>
      <c r="E8" s="25" t="n"/>
      <c r="F8" s="25" t="n"/>
      <c r="G8" s="28">
        <f>D8-B8</f>
        <v/>
      </c>
      <c r="H8" s="10">
        <f>(D8/B8)-1</f>
        <v/>
      </c>
      <c r="I8" s="7" t="n"/>
      <c r="J8" s="1" t="n">
        <v>42822</v>
      </c>
      <c r="K8" s="25" t="n">
        <v>2913.48</v>
      </c>
      <c r="L8" s="1" t="n">
        <v>43187</v>
      </c>
      <c r="M8" s="25" t="n">
        <v>2780.04</v>
      </c>
      <c r="N8" s="26">
        <f>M8-K8</f>
        <v/>
      </c>
      <c r="O8" s="7">
        <f>(M8/K8)-1</f>
        <v/>
      </c>
      <c r="P8" s="4" t="n"/>
    </row>
    <row hidden="1" r="9" s="64" spans="1:23">
      <c r="A9" s="1" t="n">
        <v>41886</v>
      </c>
      <c r="B9" s="27" t="n">
        <v>1924.67</v>
      </c>
      <c r="C9" s="1" t="n">
        <v>42251</v>
      </c>
      <c r="D9" s="25" t="n">
        <v>3119.93</v>
      </c>
      <c r="E9" s="25" t="n"/>
      <c r="F9" s="25" t="n"/>
      <c r="G9" s="28">
        <f>D9-B9</f>
        <v/>
      </c>
      <c r="H9" s="10">
        <f>(D9/B9)-1</f>
        <v/>
      </c>
      <c r="I9" s="7" t="n"/>
      <c r="J9" s="1" t="n">
        <v>42822</v>
      </c>
      <c r="K9" s="25" t="n">
        <v>2913.48</v>
      </c>
      <c r="L9" s="1" t="n">
        <v>43187</v>
      </c>
      <c r="M9" s="25" t="n">
        <v>2780.04</v>
      </c>
      <c r="N9" s="26">
        <f>M9-K9</f>
        <v/>
      </c>
      <c r="O9" s="7">
        <f>(M9/K9)-1</f>
        <v/>
      </c>
      <c r="P9" s="4" t="n"/>
    </row>
    <row hidden="1" r="10" s="64" spans="1:23">
      <c r="A10" s="1" t="n">
        <v>41887</v>
      </c>
      <c r="B10" s="27" t="n">
        <v>1931.45</v>
      </c>
      <c r="C10" s="1" t="n">
        <v>42252</v>
      </c>
      <c r="D10" s="25" t="n">
        <v>3113.55</v>
      </c>
      <c r="E10" s="25" t="n"/>
      <c r="F10" s="25" t="n"/>
      <c r="G10" s="28">
        <f>D10-B10</f>
        <v/>
      </c>
      <c r="H10" s="10">
        <f>(D10/B10)-1</f>
        <v/>
      </c>
      <c r="I10" s="7" t="n"/>
      <c r="J10" s="1" t="n">
        <v>42822</v>
      </c>
      <c r="K10" s="25" t="n">
        <v>2913.48</v>
      </c>
      <c r="L10" s="1" t="n">
        <v>43187</v>
      </c>
      <c r="M10" s="25" t="n">
        <v>2780.04</v>
      </c>
      <c r="N10" s="26">
        <f>M10-K10</f>
        <v/>
      </c>
      <c r="O10" s="7">
        <f>(M10/K10)-1</f>
        <v/>
      </c>
      <c r="P10" s="4" t="n"/>
    </row>
    <row hidden="1" r="11" s="64" spans="1:23">
      <c r="A11" s="1" t="n">
        <v>41888</v>
      </c>
      <c r="B11" s="27" t="n">
        <v>1935.25</v>
      </c>
      <c r="C11" s="1" t="n">
        <v>42253</v>
      </c>
      <c r="D11" s="25" t="n">
        <v>3113.55</v>
      </c>
      <c r="E11" s="25" t="n"/>
      <c r="F11" s="25" t="n"/>
      <c r="G11" s="28">
        <f>D11-B11</f>
        <v/>
      </c>
      <c r="H11" s="10">
        <f>(D11/B11)-1</f>
        <v/>
      </c>
      <c r="I11" s="7" t="n"/>
      <c r="J11" s="1" t="n">
        <v>42822</v>
      </c>
      <c r="K11" s="25" t="n">
        <v>2913.48</v>
      </c>
      <c r="L11" s="1" t="n">
        <v>43187</v>
      </c>
      <c r="M11" s="25" t="n">
        <v>2780.04</v>
      </c>
      <c r="N11" s="26">
        <f>M11-K11</f>
        <v/>
      </c>
      <c r="O11" s="7">
        <f>(M11/K11)-1</f>
        <v/>
      </c>
      <c r="P11" s="4" t="n"/>
    </row>
    <row hidden="1" r="12" s="64" spans="1:23">
      <c r="A12" s="1" t="n">
        <v>41889</v>
      </c>
      <c r="B12" s="27" t="n">
        <v>1935.25</v>
      </c>
      <c r="C12" s="1" t="n">
        <v>42254</v>
      </c>
      <c r="D12" s="25" t="n">
        <v>3113.55</v>
      </c>
      <c r="E12" s="25" t="n"/>
      <c r="F12" s="25" t="n"/>
      <c r="G12" s="28">
        <f>D12-B12</f>
        <v/>
      </c>
      <c r="H12" s="10">
        <f>(D12/B12)-1</f>
        <v/>
      </c>
      <c r="I12" s="7" t="n"/>
      <c r="J12" s="1" t="n">
        <v>42822</v>
      </c>
      <c r="K12" s="25" t="n">
        <v>2913.48</v>
      </c>
      <c r="L12" s="1" t="n">
        <v>43187</v>
      </c>
      <c r="M12" s="25" t="n">
        <v>2780.04</v>
      </c>
      <c r="N12" s="26">
        <f>M12-K12</f>
        <v/>
      </c>
      <c r="O12" s="7">
        <f>(M12/K12)-1</f>
        <v/>
      </c>
      <c r="P12" s="4" t="n"/>
    </row>
    <row hidden="1" r="13" s="64" spans="1:23">
      <c r="A13" s="1" t="n">
        <v>41890</v>
      </c>
      <c r="B13" s="27" t="n">
        <v>1935.25</v>
      </c>
      <c r="C13" s="1" t="n">
        <v>42255</v>
      </c>
      <c r="D13" s="25" t="n">
        <v>3113.55</v>
      </c>
      <c r="E13" s="25" t="n"/>
      <c r="F13" s="25" t="n"/>
      <c r="G13" s="28">
        <f>D13-B13</f>
        <v/>
      </c>
      <c r="H13" s="10">
        <f>(D13/B13)-1</f>
        <v/>
      </c>
      <c r="I13" s="7" t="n"/>
      <c r="J13" s="1" t="n">
        <v>42822</v>
      </c>
      <c r="K13" s="25" t="n">
        <v>2913.48</v>
      </c>
      <c r="L13" s="1" t="n">
        <v>43187</v>
      </c>
      <c r="M13" s="25" t="n">
        <v>2780.04</v>
      </c>
      <c r="N13" s="26">
        <f>M13-K13</f>
        <v/>
      </c>
      <c r="O13" s="7">
        <f>(M13/K13)-1</f>
        <v/>
      </c>
      <c r="P13" s="4" t="n"/>
    </row>
    <row hidden="1" r="14" s="64" spans="1:23">
      <c r="A14" s="1" t="n">
        <v>41891</v>
      </c>
      <c r="B14" s="27" t="n">
        <v>1942.03</v>
      </c>
      <c r="C14" s="1" t="n">
        <v>42256</v>
      </c>
      <c r="D14" s="25" t="n">
        <v>3138.46</v>
      </c>
      <c r="E14" s="25" t="n"/>
      <c r="F14" s="25" t="n"/>
      <c r="G14" s="28">
        <f>D14-B14</f>
        <v/>
      </c>
      <c r="H14" s="10">
        <f>(D14/B14)-1</f>
        <v/>
      </c>
      <c r="I14" s="7" t="n"/>
      <c r="J14" s="1" t="n">
        <v>42822</v>
      </c>
      <c r="K14" s="25" t="n">
        <v>2913.48</v>
      </c>
      <c r="L14" s="1" t="n">
        <v>43187</v>
      </c>
      <c r="M14" s="25" t="n">
        <v>2780.04</v>
      </c>
      <c r="N14" s="26">
        <f>M14-K14</f>
        <v/>
      </c>
      <c r="O14" s="7">
        <f>(M14/K14)-1</f>
        <v/>
      </c>
      <c r="P14" s="4" t="n"/>
    </row>
    <row hidden="1" r="15" s="64" spans="1:23">
      <c r="A15" s="1" t="n">
        <v>41892</v>
      </c>
      <c r="B15" s="27" t="n">
        <v>1962.84</v>
      </c>
      <c r="C15" s="1" t="n">
        <v>42257</v>
      </c>
      <c r="D15" s="25" t="n">
        <v>3105.4</v>
      </c>
      <c r="E15" s="25" t="n"/>
      <c r="F15" s="25" t="n"/>
      <c r="G15" s="28">
        <f>D15-B15</f>
        <v/>
      </c>
      <c r="H15" s="10">
        <f>(D15/B15)-1</f>
        <v/>
      </c>
      <c r="I15" s="7" t="n"/>
      <c r="J15" s="1" t="n">
        <v>42822</v>
      </c>
      <c r="K15" s="25" t="n">
        <v>2913.48</v>
      </c>
      <c r="L15" s="1" t="n">
        <v>43187</v>
      </c>
      <c r="M15" s="25" t="n">
        <v>2780.04</v>
      </c>
      <c r="N15" s="26">
        <f>M15-K15</f>
        <v/>
      </c>
      <c r="O15" s="7">
        <f>(M15/K15)-1</f>
        <v/>
      </c>
      <c r="P15" s="4" t="n"/>
    </row>
    <row hidden="1" r="16" s="64" spans="1:23">
      <c r="A16" s="1" t="n">
        <v>41893</v>
      </c>
      <c r="B16" s="27" t="n">
        <v>1975.82</v>
      </c>
      <c r="C16" s="1" t="n">
        <v>42258</v>
      </c>
      <c r="D16" s="25" t="n">
        <v>3080.57</v>
      </c>
      <c r="E16" s="25" t="n"/>
      <c r="F16" s="25" t="n"/>
      <c r="G16" s="28">
        <f>D16-B16</f>
        <v/>
      </c>
      <c r="H16" s="10">
        <f>(D16/B16)-1</f>
        <v/>
      </c>
      <c r="I16" s="7" t="n"/>
      <c r="J16" s="1" t="n">
        <v>42822</v>
      </c>
      <c r="K16" s="25" t="n">
        <v>2913.48</v>
      </c>
      <c r="L16" s="1" t="n">
        <v>43187</v>
      </c>
      <c r="M16" s="25" t="n">
        <v>2780.04</v>
      </c>
      <c r="N16" s="26">
        <f>M16-K16</f>
        <v/>
      </c>
      <c r="O16" s="7">
        <f>(M16/K16)-1</f>
        <v/>
      </c>
      <c r="P16" s="4" t="n"/>
    </row>
    <row hidden="1" r="17" s="64" spans="1:23">
      <c r="A17" s="1" t="n">
        <v>41894</v>
      </c>
      <c r="B17" s="27" t="n">
        <v>1979.97</v>
      </c>
      <c r="C17" s="1" t="n">
        <v>42259</v>
      </c>
      <c r="D17" s="25" t="n">
        <v>3012.96</v>
      </c>
      <c r="E17" s="25" t="n"/>
      <c r="F17" s="25" t="n"/>
      <c r="G17" s="28">
        <f>D17-B17</f>
        <v/>
      </c>
      <c r="H17" s="10">
        <f>(D17/B17)-1</f>
        <v/>
      </c>
      <c r="I17" s="7" t="n"/>
      <c r="J17" s="1" t="n">
        <v>42822</v>
      </c>
      <c r="K17" s="25" t="n">
        <v>2913.48</v>
      </c>
      <c r="L17" s="1" t="n">
        <v>43187</v>
      </c>
      <c r="M17" s="25" t="n">
        <v>2780.04</v>
      </c>
      <c r="N17" s="26">
        <f>M17-K17</f>
        <v/>
      </c>
      <c r="O17" s="7">
        <f>(M17/K17)-1</f>
        <v/>
      </c>
      <c r="P17" s="4" t="n"/>
    </row>
    <row hidden="1" r="18" s="64" spans="1:23">
      <c r="A18" s="1" t="n">
        <v>41895</v>
      </c>
      <c r="B18" s="27" t="n">
        <v>1994.97</v>
      </c>
      <c r="C18" s="1" t="n">
        <v>42260</v>
      </c>
      <c r="D18" s="25" t="n">
        <v>3012.96</v>
      </c>
      <c r="E18" s="25" t="n"/>
      <c r="F18" s="25" t="n"/>
      <c r="G18" s="28">
        <f>D18-B18</f>
        <v/>
      </c>
      <c r="H18" s="10">
        <f>(D18/B18)-1</f>
        <v/>
      </c>
      <c r="I18" s="7" t="n"/>
      <c r="J18" s="1" t="n">
        <v>42822</v>
      </c>
      <c r="K18" s="25" t="n">
        <v>2913.48</v>
      </c>
      <c r="L18" s="1" t="n">
        <v>43187</v>
      </c>
      <c r="M18" s="25" t="n">
        <v>2780.04</v>
      </c>
      <c r="N18" s="26">
        <f>M18-K18</f>
        <v/>
      </c>
      <c r="O18" s="7">
        <f>(M18/K18)-1</f>
        <v/>
      </c>
      <c r="P18" s="4" t="n"/>
    </row>
    <row hidden="1" r="19" s="64" spans="1:23">
      <c r="A19" s="1" t="n">
        <v>41896</v>
      </c>
      <c r="B19" s="27" t="n">
        <v>1994.97</v>
      </c>
      <c r="C19" s="1" t="n">
        <v>42261</v>
      </c>
      <c r="D19" s="25" t="n">
        <v>3012.96</v>
      </c>
      <c r="E19" s="25" t="n"/>
      <c r="F19" s="25" t="n"/>
      <c r="G19" s="28">
        <f>D19-B19</f>
        <v/>
      </c>
      <c r="H19" s="10">
        <f>(D19/B19)-1</f>
        <v/>
      </c>
      <c r="I19" s="7" t="n"/>
      <c r="J19" s="1" t="n">
        <v>42822</v>
      </c>
      <c r="K19" s="25" t="n">
        <v>2913.48</v>
      </c>
      <c r="L19" s="1" t="n">
        <v>43187</v>
      </c>
      <c r="M19" s="25" t="n">
        <v>2780.04</v>
      </c>
      <c r="N19" s="26">
        <f>M19-K19</f>
        <v/>
      </c>
      <c r="O19" s="7">
        <f>(M19/K19)-1</f>
        <v/>
      </c>
      <c r="P19" s="4" t="n"/>
    </row>
    <row hidden="1" r="20" s="64" spans="1:23">
      <c r="A20" s="1" t="n">
        <v>41897</v>
      </c>
      <c r="B20" s="27" t="n">
        <v>1994.97</v>
      </c>
      <c r="C20" s="1" t="n">
        <v>42262</v>
      </c>
      <c r="D20" s="25" t="n">
        <v>3032.59</v>
      </c>
      <c r="E20" s="25" t="n"/>
      <c r="F20" s="25" t="n"/>
      <c r="G20" s="28">
        <f>D20-B20</f>
        <v/>
      </c>
      <c r="H20" s="10">
        <f>(D20/B20)-1</f>
        <v/>
      </c>
      <c r="I20" s="7" t="n"/>
      <c r="J20" s="1" t="n">
        <v>42822</v>
      </c>
      <c r="K20" s="25" t="n">
        <v>2913.48</v>
      </c>
      <c r="L20" s="1" t="n">
        <v>43187</v>
      </c>
      <c r="M20" s="25" t="n">
        <v>2780.04</v>
      </c>
      <c r="N20" s="26">
        <f>M20-K20</f>
        <v/>
      </c>
      <c r="O20" s="7">
        <f>(M20/K20)-1</f>
        <v/>
      </c>
      <c r="P20" s="4" t="n"/>
    </row>
    <row hidden="1" r="21" s="64" spans="1:23">
      <c r="A21" s="1" t="n">
        <v>41898</v>
      </c>
      <c r="B21" s="27" t="n">
        <v>1987.71</v>
      </c>
      <c r="C21" s="1" t="n">
        <v>42263</v>
      </c>
      <c r="D21" s="25" t="n">
        <v>3025.28</v>
      </c>
      <c r="E21" s="25" t="n"/>
      <c r="F21" s="25" t="n"/>
      <c r="G21" s="28">
        <f>D21-B21</f>
        <v/>
      </c>
      <c r="H21" s="10">
        <f>(D21/B21)-1</f>
        <v/>
      </c>
      <c r="I21" s="7" t="n"/>
      <c r="J21" s="1" t="n">
        <v>42822</v>
      </c>
      <c r="K21" s="25" t="n">
        <v>2913.48</v>
      </c>
      <c r="L21" s="1" t="n">
        <v>43187</v>
      </c>
      <c r="M21" s="25" t="n">
        <v>2780.04</v>
      </c>
      <c r="N21" s="26">
        <f>M21-K21</f>
        <v/>
      </c>
      <c r="O21" s="7">
        <f>(M21/K21)-1</f>
        <v/>
      </c>
      <c r="P21" s="4" t="n"/>
    </row>
    <row hidden="1" r="22" s="64" spans="1:23">
      <c r="A22" s="1" t="n">
        <v>41899</v>
      </c>
      <c r="B22" s="27" t="n">
        <v>1978.08</v>
      </c>
      <c r="C22" s="1" t="n">
        <v>42264</v>
      </c>
      <c r="D22" s="25" t="n">
        <v>2989.04</v>
      </c>
      <c r="E22" s="25" t="n"/>
      <c r="F22" s="25" t="n"/>
      <c r="G22" s="28">
        <f>D22-B22</f>
        <v/>
      </c>
      <c r="H22" s="10">
        <f>(D22/B22)-1</f>
        <v/>
      </c>
      <c r="I22" s="7" t="n"/>
      <c r="J22" s="1" t="n">
        <v>42822</v>
      </c>
      <c r="K22" s="25" t="n">
        <v>2913.48</v>
      </c>
      <c r="L22" s="1" t="n">
        <v>43187</v>
      </c>
      <c r="M22" s="25" t="n">
        <v>2780.04</v>
      </c>
      <c r="N22" s="26">
        <f>M22-K22</f>
        <v/>
      </c>
      <c r="O22" s="7">
        <f>(M22/K22)-1</f>
        <v/>
      </c>
      <c r="P22" s="4" t="n"/>
    </row>
    <row hidden="1" r="23" s="64" spans="1:23">
      <c r="A23" s="1" t="n">
        <v>41900</v>
      </c>
      <c r="B23" s="27" t="n">
        <v>1975.47</v>
      </c>
      <c r="C23" s="1" t="n">
        <v>42265</v>
      </c>
      <c r="D23" s="25" t="n">
        <v>2975.13</v>
      </c>
      <c r="E23" s="25" t="n"/>
      <c r="F23" s="25" t="n"/>
      <c r="G23" s="28">
        <f>D23-B23</f>
        <v/>
      </c>
      <c r="H23" s="10">
        <f>(D23/B23)-1</f>
        <v/>
      </c>
      <c r="I23" s="7" t="n"/>
      <c r="J23" s="1" t="n">
        <v>42822</v>
      </c>
      <c r="K23" s="25" t="n">
        <v>2913.48</v>
      </c>
      <c r="L23" s="1" t="n">
        <v>43187</v>
      </c>
      <c r="M23" s="25" t="n">
        <v>2780.04</v>
      </c>
      <c r="N23" s="26">
        <f>M23-K23</f>
        <v/>
      </c>
      <c r="O23" s="7">
        <f>(M23/K23)-1</f>
        <v/>
      </c>
      <c r="P23" s="4" t="n"/>
    </row>
    <row hidden="1" r="24" s="64" spans="1:23">
      <c r="A24" s="1" t="n">
        <v>41901</v>
      </c>
      <c r="B24" s="27" t="n">
        <v>1975.42</v>
      </c>
      <c r="C24" s="1" t="n">
        <v>42266</v>
      </c>
      <c r="D24" s="25" t="n">
        <v>2984.9</v>
      </c>
      <c r="E24" s="25" t="n"/>
      <c r="F24" s="25" t="n"/>
      <c r="G24" s="28">
        <f>D24-B24</f>
        <v/>
      </c>
      <c r="H24" s="10">
        <f>(D24/B24)-1</f>
        <v/>
      </c>
      <c r="I24" s="7" t="n"/>
      <c r="J24" s="1" t="n">
        <v>42822</v>
      </c>
      <c r="K24" s="25" t="n">
        <v>2913.48</v>
      </c>
      <c r="L24" s="1" t="n">
        <v>43187</v>
      </c>
      <c r="M24" s="25" t="n">
        <v>2780.04</v>
      </c>
      <c r="N24" s="26">
        <f>M24-K24</f>
        <v/>
      </c>
      <c r="O24" s="7">
        <f>(M24/K24)-1</f>
        <v/>
      </c>
      <c r="P24" s="4" t="n"/>
    </row>
    <row hidden="1" r="25" s="64" spans="1:23">
      <c r="A25" s="1" t="n">
        <v>41902</v>
      </c>
      <c r="B25" s="27" t="n">
        <v>1966.89</v>
      </c>
      <c r="C25" s="1" t="n">
        <v>42267</v>
      </c>
      <c r="D25" s="25" t="n">
        <v>2984.9</v>
      </c>
      <c r="E25" s="25" t="n"/>
      <c r="F25" s="25" t="n"/>
      <c r="G25" s="28">
        <f>D25-B25</f>
        <v/>
      </c>
      <c r="H25" s="10">
        <f>(D25/B25)-1</f>
        <v/>
      </c>
      <c r="I25" s="7" t="n"/>
      <c r="J25" s="1" t="n">
        <v>42822</v>
      </c>
      <c r="K25" s="25" t="n">
        <v>2913.48</v>
      </c>
      <c r="L25" s="1" t="n">
        <v>43187</v>
      </c>
      <c r="M25" s="25" t="n">
        <v>2780.04</v>
      </c>
      <c r="N25" s="26">
        <f>M25-K25</f>
        <v/>
      </c>
      <c r="O25" s="7">
        <f>(M25/K25)-1</f>
        <v/>
      </c>
      <c r="P25" s="4" t="n"/>
    </row>
    <row hidden="1" r="26" s="64" spans="1:23">
      <c r="A26" s="1" t="n">
        <v>41903</v>
      </c>
      <c r="B26" s="27" t="n">
        <v>1966.89</v>
      </c>
      <c r="C26" s="1" t="n">
        <v>42268</v>
      </c>
      <c r="D26" s="25" t="n">
        <v>2984.9</v>
      </c>
      <c r="E26" s="25" t="n"/>
      <c r="F26" s="25" t="n"/>
      <c r="G26" s="28">
        <f>D26-B26</f>
        <v/>
      </c>
      <c r="H26" s="10">
        <f>(D26/B26)-1</f>
        <v/>
      </c>
      <c r="I26" s="7" t="n"/>
      <c r="J26" s="1" t="n">
        <v>42822</v>
      </c>
      <c r="K26" s="25" t="n">
        <v>2913.48</v>
      </c>
      <c r="L26" s="1" t="n">
        <v>43187</v>
      </c>
      <c r="M26" s="25" t="n">
        <v>2780.04</v>
      </c>
      <c r="N26" s="26">
        <f>M26-K26</f>
        <v/>
      </c>
      <c r="O26" s="7">
        <f>(M26/K26)-1</f>
        <v/>
      </c>
      <c r="P26" s="4" t="n"/>
    </row>
    <row hidden="1" r="27" s="64" spans="1:23">
      <c r="A27" s="1" t="n">
        <v>41904</v>
      </c>
      <c r="B27" s="27" t="n">
        <v>1966.89</v>
      </c>
      <c r="C27" s="1" t="n">
        <v>42269</v>
      </c>
      <c r="D27" s="25" t="n">
        <v>3001.68</v>
      </c>
      <c r="E27" s="25" t="n"/>
      <c r="F27" s="25" t="n"/>
      <c r="G27" s="28">
        <f>D27-B27</f>
        <v/>
      </c>
      <c r="H27" s="10">
        <f>(D27/B27)-1</f>
        <v/>
      </c>
      <c r="I27" s="7" t="n"/>
      <c r="J27" s="1" t="n">
        <v>42822</v>
      </c>
      <c r="K27" s="25" t="n">
        <v>2913.48</v>
      </c>
      <c r="L27" s="1" t="n">
        <v>43187</v>
      </c>
      <c r="M27" s="25" t="n">
        <v>2780.04</v>
      </c>
      <c r="N27" s="26">
        <f>M27-K27</f>
        <v/>
      </c>
      <c r="O27" s="7">
        <f>(M27/K27)-1</f>
        <v/>
      </c>
      <c r="P27" s="4" t="n"/>
    </row>
    <row hidden="1" r="28" s="64" spans="1:23">
      <c r="A28" s="1" t="n">
        <v>41905</v>
      </c>
      <c r="B28" s="27" t="n">
        <v>1992.68</v>
      </c>
      <c r="C28" s="1" t="n">
        <v>42270</v>
      </c>
      <c r="D28" s="25" t="n">
        <v>3065.74</v>
      </c>
      <c r="E28" s="25" t="n"/>
      <c r="F28" s="25" t="n"/>
      <c r="G28" s="28">
        <f>D28-B28</f>
        <v/>
      </c>
      <c r="H28" s="10">
        <f>(D28/B28)-1</f>
        <v/>
      </c>
      <c r="I28" s="7" t="n"/>
      <c r="J28" s="1" t="n">
        <v>42822</v>
      </c>
      <c r="K28" s="25" t="n">
        <v>2913.48</v>
      </c>
      <c r="L28" s="1" t="n">
        <v>43187</v>
      </c>
      <c r="M28" s="25" t="n">
        <v>2780.04</v>
      </c>
      <c r="N28" s="26">
        <f>M28-K28</f>
        <v/>
      </c>
      <c r="O28" s="7">
        <f>(M28/K28)-1</f>
        <v/>
      </c>
      <c r="P28" s="4" t="n"/>
    </row>
    <row hidden="1" r="29" s="64" spans="1:23">
      <c r="A29" s="1" t="n">
        <v>41906</v>
      </c>
      <c r="B29" s="27" t="n">
        <v>1997.91</v>
      </c>
      <c r="C29" s="1" t="n">
        <v>42271</v>
      </c>
      <c r="D29" s="25" t="n">
        <v>3099.28</v>
      </c>
      <c r="E29" s="25" t="n"/>
      <c r="F29" s="25" t="n"/>
      <c r="G29" s="28">
        <f>D29-B29</f>
        <v/>
      </c>
      <c r="H29" s="10">
        <f>(D29/B29)-1</f>
        <v/>
      </c>
      <c r="I29" s="7" t="n"/>
      <c r="J29" s="1" t="n">
        <v>42822</v>
      </c>
      <c r="K29" s="25" t="n">
        <v>2913.48</v>
      </c>
      <c r="L29" s="1" t="n">
        <v>43187</v>
      </c>
      <c r="M29" s="25" t="n">
        <v>2780.04</v>
      </c>
      <c r="N29" s="26">
        <f>M29-K29</f>
        <v/>
      </c>
      <c r="O29" s="7">
        <f>(M29/K29)-1</f>
        <v/>
      </c>
      <c r="P29" s="4" t="n"/>
    </row>
    <row hidden="1" r="30" s="64" spans="1:23">
      <c r="A30" s="1" t="n">
        <v>41907</v>
      </c>
      <c r="B30" s="27" t="n">
        <v>2007.48</v>
      </c>
      <c r="C30" s="1" t="n">
        <v>42272</v>
      </c>
      <c r="D30" s="25" t="n">
        <v>3135.17</v>
      </c>
      <c r="E30" s="25" t="n"/>
      <c r="F30" s="25" t="n"/>
      <c r="G30" s="28">
        <f>D30-B30</f>
        <v/>
      </c>
      <c r="H30" s="10">
        <f>(D30/B30)-1</f>
        <v/>
      </c>
      <c r="I30" s="7" t="n"/>
      <c r="J30" s="1" t="n">
        <v>42822</v>
      </c>
      <c r="K30" s="25" t="n">
        <v>2913.48</v>
      </c>
      <c r="L30" s="1" t="n">
        <v>43187</v>
      </c>
      <c r="M30" s="25" t="n">
        <v>2780.04</v>
      </c>
      <c r="N30" s="26">
        <f>M30-K30</f>
        <v/>
      </c>
      <c r="O30" s="7">
        <f>(M30/K30)-1</f>
        <v/>
      </c>
      <c r="P30" s="4" t="n"/>
    </row>
    <row hidden="1" r="31" s="64" spans="1:23">
      <c r="A31" s="1" t="n">
        <v>41908</v>
      </c>
      <c r="B31" s="27" t="n">
        <v>2019.76</v>
      </c>
      <c r="C31" s="1" t="n">
        <v>42273</v>
      </c>
      <c r="D31" s="25" t="n">
        <v>3080.44</v>
      </c>
      <c r="E31" s="25" t="n"/>
      <c r="F31" s="25" t="n"/>
      <c r="G31" s="28">
        <f>D31-B31</f>
        <v/>
      </c>
      <c r="H31" s="10">
        <f>(D31/B31)-1</f>
        <v/>
      </c>
      <c r="I31" s="7" t="n"/>
      <c r="J31" s="1" t="n">
        <v>42822</v>
      </c>
      <c r="K31" s="25" t="n">
        <v>2913.48</v>
      </c>
      <c r="L31" s="1" t="n">
        <v>43187</v>
      </c>
      <c r="M31" s="25" t="n">
        <v>2780.04</v>
      </c>
      <c r="N31" s="26">
        <f>M31-K31</f>
        <v/>
      </c>
      <c r="O31" s="7">
        <f>(M31/K31)-1</f>
        <v/>
      </c>
      <c r="P31" s="4" t="n"/>
    </row>
    <row hidden="1" r="32" s="64" spans="1:23">
      <c r="A32" s="1" t="n">
        <v>41909</v>
      </c>
      <c r="B32" s="27" t="n">
        <v>2023.89</v>
      </c>
      <c r="C32" s="1" t="n">
        <v>42274</v>
      </c>
      <c r="D32" s="25" t="n">
        <v>3080.44</v>
      </c>
      <c r="E32" s="25" t="n"/>
      <c r="F32" s="25" t="n"/>
      <c r="G32" s="28">
        <f>D32-B32</f>
        <v/>
      </c>
      <c r="H32" s="10">
        <f>(D32/B32)-1</f>
        <v/>
      </c>
      <c r="I32" s="7" t="n"/>
      <c r="J32" s="1" t="n">
        <v>42822</v>
      </c>
      <c r="K32" s="25" t="n">
        <v>2913.48</v>
      </c>
      <c r="L32" s="1" t="n">
        <v>43187</v>
      </c>
      <c r="M32" s="25" t="n">
        <v>2780.04</v>
      </c>
      <c r="N32" s="26">
        <f>M32-K32</f>
        <v/>
      </c>
      <c r="O32" s="7">
        <f>(M32/K32)-1</f>
        <v/>
      </c>
      <c r="P32" s="4" t="n"/>
    </row>
    <row hidden="1" r="33" s="64" spans="1:23">
      <c r="A33" s="1" t="n">
        <v>41910</v>
      </c>
      <c r="B33" s="27" t="n">
        <v>2023.89</v>
      </c>
      <c r="C33" s="1" t="n">
        <v>42275</v>
      </c>
      <c r="D33" s="25" t="n">
        <v>3080.44</v>
      </c>
      <c r="E33" s="25" t="n"/>
      <c r="F33" s="25" t="n"/>
      <c r="G33" s="28">
        <f>D33-B33</f>
        <v/>
      </c>
      <c r="H33" s="10">
        <f>(D33/B33)-1</f>
        <v/>
      </c>
      <c r="I33" s="7" t="n"/>
      <c r="J33" s="1" t="n">
        <v>42822</v>
      </c>
      <c r="K33" s="25" t="n">
        <v>2913.48</v>
      </c>
      <c r="L33" s="1" t="n">
        <v>43187</v>
      </c>
      <c r="M33" s="25" t="n">
        <v>2780.04</v>
      </c>
      <c r="N33" s="26">
        <f>M33-K33</f>
        <v/>
      </c>
      <c r="O33" s="7">
        <f>(M33/K33)-1</f>
        <v/>
      </c>
      <c r="P33" s="4" t="n"/>
    </row>
    <row hidden="1" r="34" s="64" spans="1:23">
      <c r="A34" s="1" t="n">
        <v>41911</v>
      </c>
      <c r="B34" s="27" t="n">
        <v>2023.89</v>
      </c>
      <c r="C34" s="1" t="n">
        <v>42276</v>
      </c>
      <c r="D34" s="25" t="n">
        <v>3096.98</v>
      </c>
      <c r="E34" s="25" t="n"/>
      <c r="F34" s="25" t="n"/>
      <c r="G34" s="28">
        <f>D34-B34</f>
        <v/>
      </c>
      <c r="H34" s="10">
        <f>(D34/B34)-1</f>
        <v/>
      </c>
      <c r="I34" s="7" t="n"/>
      <c r="J34" s="1" t="n">
        <v>42822</v>
      </c>
      <c r="K34" s="25" t="n">
        <v>2913.48</v>
      </c>
      <c r="L34" s="1" t="n">
        <v>43187</v>
      </c>
      <c r="M34" s="25" t="n">
        <v>2780.04</v>
      </c>
      <c r="N34" s="26">
        <f>M34-K34</f>
        <v/>
      </c>
      <c r="O34" s="7">
        <f>(M34/K34)-1</f>
        <v/>
      </c>
      <c r="P34" s="4" t="n"/>
    </row>
    <row hidden="1" r="35" s="64" spans="1:23">
      <c r="A35" s="1" t="n">
        <v>41912</v>
      </c>
      <c r="B35" s="27" t="n">
        <v>2028.48</v>
      </c>
      <c r="C35" s="1" t="n">
        <v>42277</v>
      </c>
      <c r="D35" s="25" t="n">
        <v>3121.94</v>
      </c>
      <c r="E35" s="25" t="n"/>
      <c r="F35" s="25" t="n"/>
      <c r="G35" s="28">
        <f>D35-B35</f>
        <v/>
      </c>
      <c r="H35" s="10">
        <f>(D35/B35)-1</f>
        <v/>
      </c>
      <c r="I35" s="7" t="n"/>
      <c r="J35" s="1" t="n">
        <v>42822</v>
      </c>
      <c r="K35" s="25" t="n">
        <v>2913.48</v>
      </c>
      <c r="L35" s="1" t="n">
        <v>43187</v>
      </c>
      <c r="M35" s="25" t="n">
        <v>2780.04</v>
      </c>
      <c r="N35" s="26">
        <f>M35-K35</f>
        <v/>
      </c>
      <c r="O35" s="7">
        <f>(M35/K35)-1</f>
        <v/>
      </c>
      <c r="P35" s="4" t="n"/>
    </row>
    <row hidden="1" r="36" s="64" spans="1:23">
      <c r="A36" s="1" t="n">
        <v>41913</v>
      </c>
      <c r="B36" s="27" t="n">
        <v>2022</v>
      </c>
      <c r="C36" s="1" t="n">
        <v>42278</v>
      </c>
      <c r="D36" s="25" t="n">
        <v>3086.75</v>
      </c>
      <c r="E36" s="25" t="n"/>
      <c r="F36" s="25" t="n"/>
      <c r="G36" s="28">
        <f>D36-B36</f>
        <v/>
      </c>
      <c r="H36" s="10">
        <f>(D36/B36)-1</f>
        <v/>
      </c>
      <c r="I36" s="7" t="n"/>
      <c r="J36" s="1" t="n">
        <v>42822</v>
      </c>
      <c r="K36" s="25" t="n">
        <v>2913.48</v>
      </c>
      <c r="L36" s="1" t="n">
        <v>43187</v>
      </c>
      <c r="M36" s="25" t="n">
        <v>2780.04</v>
      </c>
      <c r="N36" s="26">
        <f>M36-K36</f>
        <v/>
      </c>
      <c r="O36" s="7">
        <f>(M36/K36)-1</f>
        <v/>
      </c>
      <c r="P36" s="4" t="n"/>
    </row>
    <row hidden="1" r="37" s="64" spans="1:23">
      <c r="A37" s="1" t="n">
        <v>41914</v>
      </c>
      <c r="B37" s="27" t="n">
        <v>2025.75</v>
      </c>
      <c r="C37" s="1" t="n">
        <v>42279</v>
      </c>
      <c r="D37" s="25" t="n">
        <v>3061.85</v>
      </c>
      <c r="E37" s="25" t="n"/>
      <c r="F37" s="25" t="n"/>
      <c r="G37" s="28">
        <f>D37-B37</f>
        <v/>
      </c>
      <c r="H37" s="10">
        <f>(D37/B37)-1</f>
        <v/>
      </c>
      <c r="I37" s="7" t="n"/>
      <c r="J37" s="1" t="n">
        <v>42822</v>
      </c>
      <c r="K37" s="25" t="n">
        <v>2913.48</v>
      </c>
      <c r="L37" s="1" t="n">
        <v>43187</v>
      </c>
      <c r="M37" s="25" t="n">
        <v>2780.04</v>
      </c>
      <c r="N37" s="26">
        <f>M37-K37</f>
        <v/>
      </c>
      <c r="O37" s="7">
        <f>(M37/K37)-1</f>
        <v/>
      </c>
      <c r="P37" s="4" t="n"/>
    </row>
    <row hidden="1" r="38" s="64" spans="1:23">
      <c r="A38" s="1" t="n">
        <v>41915</v>
      </c>
      <c r="B38" s="27" t="n">
        <v>2021.49</v>
      </c>
      <c r="C38" s="1" t="n">
        <v>42280</v>
      </c>
      <c r="D38" s="25" t="n">
        <v>3034.9</v>
      </c>
      <c r="E38" s="25" t="n"/>
      <c r="F38" s="25" t="n"/>
      <c r="G38" s="28">
        <f>D38-B38</f>
        <v/>
      </c>
      <c r="H38" s="10">
        <f>(D38/B38)-1</f>
        <v/>
      </c>
      <c r="I38" s="7" t="n"/>
      <c r="J38" s="1" t="n">
        <v>42822</v>
      </c>
      <c r="K38" s="25" t="n">
        <v>2913.48</v>
      </c>
      <c r="L38" s="1" t="n">
        <v>43187</v>
      </c>
      <c r="M38" s="25" t="n">
        <v>2780.04</v>
      </c>
      <c r="N38" s="26">
        <f>M38-K38</f>
        <v/>
      </c>
      <c r="O38" s="7">
        <f>(M38/K38)-1</f>
        <v/>
      </c>
      <c r="P38" s="4" t="n"/>
    </row>
    <row hidden="1" r="39" s="64" spans="1:23">
      <c r="A39" s="1" t="n">
        <v>41916</v>
      </c>
      <c r="B39" s="27" t="n">
        <v>2026.2</v>
      </c>
      <c r="C39" s="1" t="n">
        <v>42281</v>
      </c>
      <c r="D39" s="25" t="n">
        <v>3034.9</v>
      </c>
      <c r="E39" s="25" t="n"/>
      <c r="F39" s="25" t="n"/>
      <c r="G39" s="28">
        <f>D39-B39</f>
        <v/>
      </c>
      <c r="H39" s="10">
        <f>(D39/B39)-1</f>
        <v/>
      </c>
      <c r="I39" s="7" t="n"/>
      <c r="J39" s="1" t="n">
        <v>42822</v>
      </c>
      <c r="K39" s="25" t="n">
        <v>2913.48</v>
      </c>
      <c r="L39" s="1" t="n">
        <v>43187</v>
      </c>
      <c r="M39" s="25" t="n">
        <v>2780.04</v>
      </c>
      <c r="N39" s="26">
        <f>M39-K39</f>
        <v/>
      </c>
      <c r="O39" s="7">
        <f>(M39/K39)-1</f>
        <v/>
      </c>
      <c r="P39" s="4" t="n"/>
    </row>
    <row hidden="1" r="40" s="64" spans="1:23">
      <c r="A40" s="1" t="n">
        <v>41917</v>
      </c>
      <c r="B40" s="27" t="n">
        <v>2026.2</v>
      </c>
      <c r="C40" s="1" t="n">
        <v>42282</v>
      </c>
      <c r="D40" s="25" t="n">
        <v>3034.9</v>
      </c>
      <c r="E40" s="25" t="n"/>
      <c r="F40" s="25" t="n"/>
      <c r="G40" s="28">
        <f>D40-B40</f>
        <v/>
      </c>
      <c r="H40" s="10">
        <f>(D40/B40)-1</f>
        <v/>
      </c>
      <c r="I40" s="7" t="n"/>
      <c r="J40" s="1" t="n">
        <v>42822</v>
      </c>
      <c r="K40" s="25" t="n">
        <v>2913.48</v>
      </c>
      <c r="L40" s="1" t="n">
        <v>43187</v>
      </c>
      <c r="M40" s="25" t="n">
        <v>2780.04</v>
      </c>
      <c r="N40" s="26">
        <f>M40-K40</f>
        <v/>
      </c>
      <c r="O40" s="7">
        <f>(M40/K40)-1</f>
        <v/>
      </c>
      <c r="P40" s="4" t="n"/>
    </row>
    <row hidden="1" r="41" s="64" spans="1:23">
      <c r="A41" s="1" t="n">
        <v>41918</v>
      </c>
      <c r="B41" s="27" t="n">
        <v>2026.2</v>
      </c>
      <c r="C41" s="1" t="n">
        <v>42283</v>
      </c>
      <c r="D41" s="25" t="n">
        <v>2971.15</v>
      </c>
      <c r="E41" s="25" t="n"/>
      <c r="F41" s="25" t="n"/>
      <c r="G41" s="28">
        <f>D41-B41</f>
        <v/>
      </c>
      <c r="H41" s="10">
        <f>(D41/B41)-1</f>
        <v/>
      </c>
      <c r="I41" s="7" t="n"/>
      <c r="J41" s="1" t="n">
        <v>42822</v>
      </c>
      <c r="K41" s="25" t="n">
        <v>2913.48</v>
      </c>
      <c r="L41" s="1" t="n">
        <v>43187</v>
      </c>
      <c r="M41" s="25" t="n">
        <v>2780.04</v>
      </c>
      <c r="N41" s="26">
        <f>M41-K41</f>
        <v/>
      </c>
      <c r="O41" s="7">
        <f>(M41/K41)-1</f>
        <v/>
      </c>
      <c r="P41" s="4" t="n"/>
    </row>
    <row hidden="1" r="42" s="64" spans="1:23">
      <c r="A42" s="1" t="n">
        <v>41919</v>
      </c>
      <c r="B42" s="27" t="n">
        <v>2028.03</v>
      </c>
      <c r="C42" s="1" t="n">
        <v>42284</v>
      </c>
      <c r="D42" s="25" t="n">
        <v>2913.74</v>
      </c>
      <c r="E42" s="25" t="n"/>
      <c r="F42" s="25" t="n"/>
      <c r="G42" s="28">
        <f>D42-B42</f>
        <v/>
      </c>
      <c r="H42" s="10">
        <f>(D42/B42)-1</f>
        <v/>
      </c>
      <c r="I42" s="7" t="n"/>
      <c r="J42" s="1" t="n">
        <v>42822</v>
      </c>
      <c r="K42" s="25" t="n">
        <v>2913.48</v>
      </c>
      <c r="L42" s="1" t="n">
        <v>43187</v>
      </c>
      <c r="M42" s="25" t="n">
        <v>2780.04</v>
      </c>
      <c r="N42" s="26">
        <f>M42-K42</f>
        <v/>
      </c>
      <c r="O42" s="7">
        <f>(M42/K42)-1</f>
        <v/>
      </c>
      <c r="P42" s="4" t="n"/>
    </row>
    <row hidden="1" r="43" s="64" spans="1:23">
      <c r="A43" s="1" t="n">
        <v>41920</v>
      </c>
      <c r="B43" s="27" t="n">
        <v>2026.9</v>
      </c>
      <c r="C43" s="1" t="n">
        <v>42285</v>
      </c>
      <c r="D43" s="25" t="n">
        <v>2891.91</v>
      </c>
      <c r="E43" s="25" t="n"/>
      <c r="F43" s="25" t="n"/>
      <c r="G43" s="28">
        <f>D43-B43</f>
        <v/>
      </c>
      <c r="H43" s="10">
        <f>(D43/B43)-1</f>
        <v/>
      </c>
      <c r="I43" s="7" t="n"/>
      <c r="J43" s="1" t="n">
        <v>42822</v>
      </c>
      <c r="K43" s="25" t="n">
        <v>2913.48</v>
      </c>
      <c r="L43" s="1" t="n">
        <v>43187</v>
      </c>
      <c r="M43" s="25" t="n">
        <v>2780.04</v>
      </c>
      <c r="N43" s="26">
        <f>M43-K43</f>
        <v/>
      </c>
      <c r="O43" s="7">
        <f>(M43/K43)-1</f>
        <v/>
      </c>
      <c r="P43" s="4" t="n"/>
    </row>
    <row hidden="1" r="44" s="64" spans="1:23">
      <c r="A44" s="1" t="n">
        <v>41921</v>
      </c>
      <c r="B44" s="27" t="n">
        <v>2040.31</v>
      </c>
      <c r="C44" s="1" t="n">
        <v>42286</v>
      </c>
      <c r="D44" s="25" t="n">
        <v>2887.21</v>
      </c>
      <c r="E44" s="25" t="n"/>
      <c r="F44" s="25" t="n"/>
      <c r="G44" s="28">
        <f>D44-B44</f>
        <v/>
      </c>
      <c r="H44" s="10">
        <f>(D44/B44)-1</f>
        <v/>
      </c>
      <c r="I44" s="7" t="n"/>
      <c r="J44" s="1" t="n">
        <v>42822</v>
      </c>
      <c r="K44" s="25" t="n">
        <v>2913.48</v>
      </c>
      <c r="L44" s="1" t="n">
        <v>43187</v>
      </c>
      <c r="M44" s="25" t="n">
        <v>2780.04</v>
      </c>
      <c r="N44" s="26">
        <f>M44-K44</f>
        <v/>
      </c>
      <c r="O44" s="7">
        <f>(M44/K44)-1</f>
        <v/>
      </c>
      <c r="P44" s="4" t="n"/>
    </row>
    <row hidden="1" r="45" s="64" spans="1:23">
      <c r="A45" s="1" t="n">
        <v>41922</v>
      </c>
      <c r="B45" s="27" t="n">
        <v>2041.71</v>
      </c>
      <c r="C45" s="1" t="n">
        <v>42287</v>
      </c>
      <c r="D45" s="25" t="n">
        <v>2855.74</v>
      </c>
      <c r="E45" s="25" t="n"/>
      <c r="F45" s="25" t="n"/>
      <c r="G45" s="28">
        <f>D45-B45</f>
        <v/>
      </c>
      <c r="H45" s="10">
        <f>(D45/B45)-1</f>
        <v/>
      </c>
      <c r="I45" s="7" t="n"/>
      <c r="J45" s="1" t="n">
        <v>42822</v>
      </c>
      <c r="K45" s="25" t="n">
        <v>2913.48</v>
      </c>
      <c r="L45" s="1" t="n">
        <v>43187</v>
      </c>
      <c r="M45" s="25" t="n">
        <v>2780.04</v>
      </c>
      <c r="N45" s="26">
        <f>M45-K45</f>
        <v/>
      </c>
      <c r="O45" s="7">
        <f>(M45/K45)-1</f>
        <v/>
      </c>
      <c r="P45" s="4" t="n"/>
    </row>
    <row hidden="1" r="46" s="64" spans="1:23">
      <c r="A46" s="1" t="n">
        <v>41923</v>
      </c>
      <c r="B46" s="27" t="n">
        <v>2052.96</v>
      </c>
      <c r="C46" s="1" t="n">
        <v>42288</v>
      </c>
      <c r="D46" s="25" t="n">
        <v>2855.74</v>
      </c>
      <c r="E46" s="25" t="n"/>
      <c r="F46" s="25" t="n"/>
      <c r="G46" s="28">
        <f>D46-B46</f>
        <v/>
      </c>
      <c r="H46" s="10">
        <f>(D46/B46)-1</f>
        <v/>
      </c>
      <c r="I46" s="7" t="n"/>
      <c r="J46" s="1" t="n">
        <v>42822</v>
      </c>
      <c r="K46" s="25" t="n">
        <v>2913.48</v>
      </c>
      <c r="L46" s="1" t="n">
        <v>43187</v>
      </c>
      <c r="M46" s="25" t="n">
        <v>2780.04</v>
      </c>
      <c r="N46" s="26">
        <f>M46-K46</f>
        <v/>
      </c>
      <c r="O46" s="7">
        <f>(M46/K46)-1</f>
        <v/>
      </c>
      <c r="P46" s="4" t="n"/>
    </row>
    <row hidden="1" r="47" s="64" spans="1:23">
      <c r="A47" s="1" t="n">
        <v>41924</v>
      </c>
      <c r="B47" s="27" t="n">
        <v>2052.96</v>
      </c>
      <c r="C47" s="1" t="n">
        <v>42289</v>
      </c>
      <c r="D47" s="25" t="n">
        <v>2855.74</v>
      </c>
      <c r="E47" s="25" t="n"/>
      <c r="F47" s="25" t="n"/>
      <c r="G47" s="28">
        <f>D47-B47</f>
        <v/>
      </c>
      <c r="H47" s="10">
        <f>(D47/B47)-1</f>
        <v/>
      </c>
      <c r="I47" s="7" t="n"/>
      <c r="J47" s="1" t="n">
        <v>42822</v>
      </c>
      <c r="K47" s="25" t="n">
        <v>2913.48</v>
      </c>
      <c r="L47" s="1" t="n">
        <v>43187</v>
      </c>
      <c r="M47" s="25" t="n">
        <v>2780.04</v>
      </c>
      <c r="N47" s="26">
        <f>M47-K47</f>
        <v/>
      </c>
      <c r="O47" s="7">
        <f>(M47/K47)-1</f>
        <v/>
      </c>
      <c r="P47" s="4" t="n"/>
    </row>
    <row hidden="1" r="48" s="64" spans="1:23">
      <c r="A48" s="1" t="n">
        <v>41925</v>
      </c>
      <c r="B48" s="27" t="n">
        <v>2052.96</v>
      </c>
      <c r="C48" s="1" t="n">
        <v>42290</v>
      </c>
      <c r="D48" s="25" t="n">
        <v>2855.74</v>
      </c>
      <c r="E48" s="25" t="n"/>
      <c r="F48" s="25" t="n"/>
      <c r="G48" s="28">
        <f>D48-B48</f>
        <v/>
      </c>
      <c r="H48" s="10">
        <f>(D48/B48)-1</f>
        <v/>
      </c>
      <c r="I48" s="7" t="n"/>
      <c r="J48" s="1" t="n">
        <v>42822</v>
      </c>
      <c r="K48" s="25" t="n">
        <v>2913.48</v>
      </c>
      <c r="L48" s="1" t="n">
        <v>43187</v>
      </c>
      <c r="M48" s="25" t="n">
        <v>2780.04</v>
      </c>
      <c r="N48" s="26">
        <f>M48-K48</f>
        <v/>
      </c>
      <c r="O48" s="7">
        <f>(M48/K48)-1</f>
        <v/>
      </c>
      <c r="P48" s="4" t="n"/>
    </row>
    <row hidden="1" r="49" s="64" spans="1:23">
      <c r="A49" s="1" t="n">
        <v>41926</v>
      </c>
      <c r="B49" s="27" t="n">
        <v>2052.96</v>
      </c>
      <c r="C49" s="1" t="n">
        <v>42291</v>
      </c>
      <c r="D49" s="25" t="n">
        <v>2910.7</v>
      </c>
      <c r="E49" s="25" t="n"/>
      <c r="F49" s="25" t="n"/>
      <c r="G49" s="28">
        <f>D49-B49</f>
        <v/>
      </c>
      <c r="H49" s="10">
        <f>(D49/B49)-1</f>
        <v/>
      </c>
      <c r="I49" s="7" t="n"/>
      <c r="J49" s="1" t="n">
        <v>42822</v>
      </c>
      <c r="K49" s="25" t="n">
        <v>2913.48</v>
      </c>
      <c r="L49" s="1" t="n">
        <v>43187</v>
      </c>
      <c r="M49" s="25" t="n">
        <v>2780.04</v>
      </c>
      <c r="N49" s="26">
        <f>M49-K49</f>
        <v/>
      </c>
      <c r="O49" s="7">
        <f>(M49/K49)-1</f>
        <v/>
      </c>
      <c r="P49" s="4" t="n"/>
    </row>
    <row hidden="1" r="50" s="64" spans="1:23">
      <c r="A50" s="1" t="n">
        <v>41927</v>
      </c>
      <c r="B50" s="27" t="n">
        <v>2049.66</v>
      </c>
      <c r="C50" s="1" t="n">
        <v>42292</v>
      </c>
      <c r="D50" s="25" t="n">
        <v>2928.69</v>
      </c>
      <c r="E50" s="25" t="n"/>
      <c r="F50" s="25" t="n"/>
      <c r="G50" s="28">
        <f>D50-B50</f>
        <v/>
      </c>
      <c r="H50" s="10">
        <f>(D50/B50)-1</f>
        <v/>
      </c>
      <c r="I50" s="7" t="n"/>
      <c r="J50" s="1" t="n">
        <v>42822</v>
      </c>
      <c r="K50" s="25" t="n">
        <v>2913.48</v>
      </c>
      <c r="L50" s="1" t="n">
        <v>43187</v>
      </c>
      <c r="M50" s="25" t="n">
        <v>2780.04</v>
      </c>
      <c r="N50" s="26">
        <f>M50-K50</f>
        <v/>
      </c>
      <c r="O50" s="7">
        <f>(M50/K50)-1</f>
        <v/>
      </c>
      <c r="P50" s="4" t="n"/>
    </row>
    <row hidden="1" r="51" s="64" spans="1:23">
      <c r="A51" s="1" t="n">
        <v>41928</v>
      </c>
      <c r="B51" s="27" t="n">
        <v>2057.7</v>
      </c>
      <c r="C51" s="1" t="n">
        <v>42293</v>
      </c>
      <c r="D51" s="25" t="n">
        <v>2908.87</v>
      </c>
      <c r="E51" s="25" t="n"/>
      <c r="F51" s="25" t="n"/>
      <c r="G51" s="28">
        <f>D51-B51</f>
        <v/>
      </c>
      <c r="H51" s="10">
        <f>(D51/B51)-1</f>
        <v/>
      </c>
      <c r="I51" s="7" t="n"/>
      <c r="J51" s="1" t="n">
        <v>42822</v>
      </c>
      <c r="K51" s="25" t="n">
        <v>2913.48</v>
      </c>
      <c r="L51" s="1" t="n">
        <v>43187</v>
      </c>
      <c r="M51" s="25" t="n">
        <v>2780.04</v>
      </c>
      <c r="N51" s="26">
        <f>M51-K51</f>
        <v/>
      </c>
      <c r="O51" s="7">
        <f>(M51/K51)-1</f>
        <v/>
      </c>
      <c r="P51" s="4" t="n"/>
    </row>
    <row hidden="1" r="52" s="64" spans="1:23">
      <c r="A52" s="1" t="n">
        <v>41929</v>
      </c>
      <c r="B52" s="27" t="n">
        <v>2074.4</v>
      </c>
      <c r="C52" s="1" t="n">
        <v>42294</v>
      </c>
      <c r="D52" s="25" t="n">
        <v>2879.89</v>
      </c>
      <c r="E52" s="25" t="n"/>
      <c r="F52" s="25" t="n"/>
      <c r="G52" s="28">
        <f>D52-B52</f>
        <v/>
      </c>
      <c r="H52" s="10">
        <f>(D52/B52)-1</f>
        <v/>
      </c>
      <c r="I52" s="7" t="n"/>
      <c r="J52" s="1" t="n">
        <v>42822</v>
      </c>
      <c r="K52" s="25" t="n">
        <v>2913.48</v>
      </c>
      <c r="L52" s="1" t="n">
        <v>43187</v>
      </c>
      <c r="M52" s="25" t="n">
        <v>2780.04</v>
      </c>
      <c r="N52" s="26">
        <f>M52-K52</f>
        <v/>
      </c>
      <c r="O52" s="7">
        <f>(M52/K52)-1</f>
        <v/>
      </c>
      <c r="P52" s="4" t="n"/>
    </row>
    <row hidden="1" r="53" s="64" spans="1:23">
      <c r="A53" s="1" t="n">
        <v>41930</v>
      </c>
      <c r="B53" s="27" t="n">
        <v>2064.43</v>
      </c>
      <c r="C53" s="1" t="n">
        <v>42295</v>
      </c>
      <c r="D53" s="25" t="n">
        <v>2879.89</v>
      </c>
      <c r="E53" s="25" t="n"/>
      <c r="F53" s="25" t="n"/>
      <c r="G53" s="28">
        <f>D53-B53</f>
        <v/>
      </c>
      <c r="H53" s="10">
        <f>(D53/B53)-1</f>
        <v/>
      </c>
      <c r="I53" s="7" t="n"/>
      <c r="J53" s="1" t="n">
        <v>42822</v>
      </c>
      <c r="K53" s="25" t="n">
        <v>2913.48</v>
      </c>
      <c r="L53" s="1" t="n">
        <v>43187</v>
      </c>
      <c r="M53" s="25" t="n">
        <v>2780.04</v>
      </c>
      <c r="N53" s="26">
        <f>M53-K53</f>
        <v/>
      </c>
      <c r="O53" s="7">
        <f>(M53/K53)-1</f>
        <v/>
      </c>
      <c r="P53" s="4" t="n"/>
    </row>
    <row hidden="1" r="54" s="64" spans="1:23">
      <c r="A54" s="1" t="n">
        <v>41931</v>
      </c>
      <c r="B54" s="27" t="n">
        <v>2064.43</v>
      </c>
      <c r="C54" s="1" t="n">
        <v>42296</v>
      </c>
      <c r="D54" s="25" t="n">
        <v>2879.89</v>
      </c>
      <c r="E54" s="25" t="n"/>
      <c r="F54" s="25" t="n"/>
      <c r="G54" s="28">
        <f>D54-B54</f>
        <v/>
      </c>
      <c r="H54" s="10">
        <f>(D54/B54)-1</f>
        <v/>
      </c>
      <c r="I54" s="7" t="n"/>
      <c r="J54" s="1" t="n">
        <v>42822</v>
      </c>
      <c r="K54" s="25" t="n">
        <v>2913.48</v>
      </c>
      <c r="L54" s="1" t="n">
        <v>43187</v>
      </c>
      <c r="M54" s="25" t="n">
        <v>2780.04</v>
      </c>
      <c r="N54" s="26">
        <f>M54-K54</f>
        <v/>
      </c>
      <c r="O54" s="7">
        <f>(M54/K54)-1</f>
        <v/>
      </c>
      <c r="P54" s="4" t="n"/>
    </row>
    <row hidden="1" r="55" s="64" spans="1:23">
      <c r="A55" s="1" t="n">
        <v>41932</v>
      </c>
      <c r="B55" s="27" t="n">
        <v>2064.43</v>
      </c>
      <c r="C55" s="1" t="n">
        <v>42297</v>
      </c>
      <c r="D55" s="25" t="n">
        <v>2912.99</v>
      </c>
      <c r="E55" s="25" t="n"/>
      <c r="F55" s="25" t="n"/>
      <c r="G55" s="28">
        <f>D55-B55</f>
        <v/>
      </c>
      <c r="H55" s="10">
        <f>(D55/B55)-1</f>
        <v/>
      </c>
      <c r="I55" s="7" t="n"/>
      <c r="J55" s="1" t="n">
        <v>42822</v>
      </c>
      <c r="K55" s="25" t="n">
        <v>2913.48</v>
      </c>
      <c r="L55" s="1" t="n">
        <v>43187</v>
      </c>
      <c r="M55" s="25" t="n">
        <v>2780.04</v>
      </c>
      <c r="N55" s="26">
        <f>M55-K55</f>
        <v/>
      </c>
      <c r="O55" s="7">
        <f>(M55/K55)-1</f>
        <v/>
      </c>
      <c r="P55" s="4" t="n"/>
    </row>
    <row hidden="1" r="56" s="64" spans="1:23">
      <c r="A56" s="1" t="n">
        <v>41933</v>
      </c>
      <c r="B56" s="27" t="n">
        <v>2065.82</v>
      </c>
      <c r="C56" s="1" t="n">
        <v>42298</v>
      </c>
      <c r="D56" s="25" t="n">
        <v>2929.19</v>
      </c>
      <c r="E56" s="25" t="n"/>
      <c r="F56" s="25" t="n"/>
      <c r="G56" s="28">
        <f>D56-B56</f>
        <v/>
      </c>
      <c r="H56" s="10">
        <f>(D56/B56)-1</f>
        <v/>
      </c>
      <c r="I56" s="7" t="n"/>
      <c r="J56" s="1" t="n">
        <v>42822</v>
      </c>
      <c r="K56" s="25" t="n">
        <v>2913.48</v>
      </c>
      <c r="L56" s="1" t="n">
        <v>43187</v>
      </c>
      <c r="M56" s="25" t="n">
        <v>2780.04</v>
      </c>
      <c r="N56" s="26">
        <f>M56-K56</f>
        <v/>
      </c>
      <c r="O56" s="7">
        <f>(M56/K56)-1</f>
        <v/>
      </c>
      <c r="P56" s="4" t="n"/>
    </row>
    <row hidden="1" r="57" s="64" spans="1:23">
      <c r="A57" s="1" t="n">
        <v>41934</v>
      </c>
      <c r="B57" s="27" t="n">
        <v>2048.44</v>
      </c>
      <c r="C57" s="1" t="n">
        <v>42299</v>
      </c>
      <c r="D57" s="25" t="n">
        <v>2966.68</v>
      </c>
      <c r="E57" s="25" t="n"/>
      <c r="F57" s="25" t="n"/>
      <c r="G57" s="28">
        <f>D57-B57</f>
        <v/>
      </c>
      <c r="H57" s="10">
        <f>(D57/B57)-1</f>
        <v/>
      </c>
      <c r="I57" s="7" t="n"/>
      <c r="J57" s="1" t="n">
        <v>42822</v>
      </c>
      <c r="K57" s="25" t="n">
        <v>2913.48</v>
      </c>
      <c r="L57" s="1" t="n">
        <v>43187</v>
      </c>
      <c r="M57" s="25" t="n">
        <v>2780.04</v>
      </c>
      <c r="N57" s="26">
        <f>M57-K57</f>
        <v/>
      </c>
      <c r="O57" s="7">
        <f>(M57/K57)-1</f>
        <v/>
      </c>
      <c r="P57" s="4" t="n"/>
    </row>
    <row hidden="1" r="58" s="64" spans="1:23">
      <c r="A58" s="1" t="n">
        <v>41935</v>
      </c>
      <c r="B58" s="27" t="n">
        <v>2049.9</v>
      </c>
      <c r="C58" s="1" t="n">
        <v>42300</v>
      </c>
      <c r="D58" s="25" t="n">
        <v>2925.36</v>
      </c>
      <c r="E58" s="25" t="n"/>
      <c r="F58" s="25" t="n"/>
      <c r="G58" s="28">
        <f>D58-B58</f>
        <v/>
      </c>
      <c r="H58" s="10">
        <f>(D58/B58)-1</f>
        <v/>
      </c>
      <c r="I58" s="7" t="n"/>
      <c r="J58" s="1" t="n">
        <v>42822</v>
      </c>
      <c r="K58" s="25" t="n">
        <v>2913.48</v>
      </c>
      <c r="L58" s="1" t="n">
        <v>43187</v>
      </c>
      <c r="M58" s="25" t="n">
        <v>2780.04</v>
      </c>
      <c r="N58" s="26">
        <f>M58-K58</f>
        <v/>
      </c>
      <c r="O58" s="7">
        <f>(M58/K58)-1</f>
        <v/>
      </c>
      <c r="P58" s="4" t="n"/>
    </row>
    <row hidden="1" r="59" s="64" spans="1:23">
      <c r="A59" s="1" t="n">
        <v>41936</v>
      </c>
      <c r="B59" s="27" t="n">
        <v>2053.39</v>
      </c>
      <c r="C59" s="1" t="n">
        <v>42301</v>
      </c>
      <c r="D59" s="25" t="n">
        <v>2912.08</v>
      </c>
      <c r="E59" s="25" t="n"/>
      <c r="F59" s="25" t="n"/>
      <c r="G59" s="28">
        <f>D59-B59</f>
        <v/>
      </c>
      <c r="H59" s="10">
        <f>(D59/B59)-1</f>
        <v/>
      </c>
      <c r="I59" s="7" t="n"/>
      <c r="J59" s="1" t="n">
        <v>42822</v>
      </c>
      <c r="K59" s="25" t="n">
        <v>2913.48</v>
      </c>
      <c r="L59" s="1" t="n">
        <v>43187</v>
      </c>
      <c r="M59" s="25" t="n">
        <v>2780.04</v>
      </c>
      <c r="N59" s="26">
        <f>M59-K59</f>
        <v/>
      </c>
      <c r="O59" s="7">
        <f>(M59/K59)-1</f>
        <v/>
      </c>
      <c r="P59" s="4" t="n"/>
    </row>
    <row hidden="1" r="60" s="64" spans="1:23">
      <c r="A60" s="1" t="n">
        <v>41937</v>
      </c>
      <c r="B60" s="27" t="n">
        <v>2065.38</v>
      </c>
      <c r="C60" s="1" t="n">
        <v>42302</v>
      </c>
      <c r="D60" s="25" t="n">
        <v>2912.08</v>
      </c>
      <c r="E60" s="25" t="n"/>
      <c r="F60" s="25" t="n"/>
      <c r="G60" s="28">
        <f>D60-B60</f>
        <v/>
      </c>
      <c r="H60" s="10">
        <f>(D60/B60)-1</f>
        <v/>
      </c>
      <c r="I60" s="7" t="n"/>
      <c r="J60" s="1" t="n">
        <v>42822</v>
      </c>
      <c r="K60" s="25" t="n">
        <v>2913.48</v>
      </c>
      <c r="L60" s="1" t="n">
        <v>43187</v>
      </c>
      <c r="M60" s="25" t="n">
        <v>2780.04</v>
      </c>
      <c r="N60" s="26">
        <f>M60-K60</f>
        <v/>
      </c>
      <c r="O60" s="7">
        <f>(M60/K60)-1</f>
        <v/>
      </c>
      <c r="P60" s="4" t="n"/>
    </row>
    <row hidden="1" r="61" s="64" spans="1:23">
      <c r="A61" s="1" t="n">
        <v>41938</v>
      </c>
      <c r="B61" s="27" t="n">
        <v>2065.38</v>
      </c>
      <c r="C61" s="1" t="n">
        <v>42303</v>
      </c>
      <c r="D61" s="25" t="n">
        <v>2912.08</v>
      </c>
      <c r="E61" s="25" t="n"/>
      <c r="F61" s="25" t="n"/>
      <c r="G61" s="28">
        <f>D61-B61</f>
        <v/>
      </c>
      <c r="H61" s="10">
        <f>(D61/B61)-1</f>
        <v/>
      </c>
      <c r="I61" s="7" t="n"/>
      <c r="J61" s="1" t="n">
        <v>42822</v>
      </c>
      <c r="K61" s="25" t="n">
        <v>2913.48</v>
      </c>
      <c r="L61" s="1" t="n">
        <v>43187</v>
      </c>
      <c r="M61" s="25" t="n">
        <v>2780.04</v>
      </c>
      <c r="N61" s="26">
        <f>M61-K61</f>
        <v/>
      </c>
      <c r="O61" s="7">
        <f>(M61/K61)-1</f>
        <v/>
      </c>
      <c r="P61" s="4" t="n"/>
    </row>
    <row hidden="1" r="62" s="64" spans="1:23">
      <c r="A62" s="1" t="n">
        <v>41939</v>
      </c>
      <c r="B62" s="27" t="n">
        <v>2065.38</v>
      </c>
      <c r="C62" s="1" t="n">
        <v>42304</v>
      </c>
      <c r="D62" s="25" t="n">
        <v>2918.21</v>
      </c>
      <c r="E62" s="25" t="n"/>
      <c r="F62" s="25" t="n"/>
      <c r="G62" s="28">
        <f>D62-B62</f>
        <v/>
      </c>
      <c r="H62" s="10">
        <f>(D62/B62)-1</f>
        <v/>
      </c>
      <c r="I62" s="7" t="n"/>
      <c r="J62" s="1" t="n">
        <v>42822</v>
      </c>
      <c r="K62" s="25" t="n">
        <v>2913.48</v>
      </c>
      <c r="L62" s="1" t="n">
        <v>43187</v>
      </c>
      <c r="M62" s="25" t="n">
        <v>2780.04</v>
      </c>
      <c r="N62" s="26">
        <f>M62-K62</f>
        <v/>
      </c>
      <c r="O62" s="7">
        <f>(M62/K62)-1</f>
        <v/>
      </c>
      <c r="P62" s="4" t="n"/>
    </row>
    <row hidden="1" r="63" s="64" spans="1:23">
      <c r="A63" s="1" t="n">
        <v>41940</v>
      </c>
      <c r="B63" s="27" t="n">
        <v>2069.72</v>
      </c>
      <c r="C63" s="1" t="n">
        <v>42305</v>
      </c>
      <c r="D63" s="25" t="n">
        <v>2950.87</v>
      </c>
      <c r="E63" s="25" t="n"/>
      <c r="F63" s="25" t="n"/>
      <c r="G63" s="28">
        <f>D63-B63</f>
        <v/>
      </c>
      <c r="H63" s="10">
        <f>(D63/B63)-1</f>
        <v/>
      </c>
      <c r="I63" s="7" t="n"/>
      <c r="J63" s="1" t="n">
        <v>42822</v>
      </c>
      <c r="K63" s="25" t="n">
        <v>2913.48</v>
      </c>
      <c r="L63" s="1" t="n">
        <v>43187</v>
      </c>
      <c r="M63" s="25" t="n">
        <v>2780.04</v>
      </c>
      <c r="N63" s="26">
        <f>M63-K63</f>
        <v/>
      </c>
      <c r="O63" s="7">
        <f>(M63/K63)-1</f>
        <v/>
      </c>
      <c r="P63" s="4" t="n"/>
    </row>
    <row hidden="1" r="64" s="64" spans="1:23">
      <c r="A64" s="1" t="n">
        <v>41941</v>
      </c>
      <c r="B64" s="27" t="n">
        <v>2055.43</v>
      </c>
      <c r="C64" s="1" t="n">
        <v>42306</v>
      </c>
      <c r="D64" s="25" t="n">
        <v>2926.75</v>
      </c>
      <c r="E64" s="25" t="n"/>
      <c r="F64" s="25" t="n"/>
      <c r="G64" s="28">
        <f>D64-B64</f>
        <v/>
      </c>
      <c r="H64" s="10">
        <f>(D64/B64)-1</f>
        <v/>
      </c>
      <c r="I64" s="7" t="n"/>
      <c r="J64" s="1" t="n">
        <v>42822</v>
      </c>
      <c r="K64" s="25" t="n">
        <v>2913.48</v>
      </c>
      <c r="L64" s="1" t="n">
        <v>43187</v>
      </c>
      <c r="M64" s="25" t="n">
        <v>2780.04</v>
      </c>
      <c r="N64" s="26">
        <f>M64-K64</f>
        <v/>
      </c>
      <c r="O64" s="7">
        <f>(M64/K64)-1</f>
        <v/>
      </c>
      <c r="P64" s="4" t="n"/>
    </row>
    <row hidden="1" r="65" s="64" spans="1:23">
      <c r="A65" s="1" t="n">
        <v>41942</v>
      </c>
      <c r="B65" s="27" t="n">
        <v>2044.55</v>
      </c>
      <c r="C65" s="1" t="n">
        <v>42307</v>
      </c>
      <c r="D65" s="25" t="n">
        <v>2921.32</v>
      </c>
      <c r="E65" s="25" t="n"/>
      <c r="F65" s="25" t="n"/>
      <c r="G65" s="28">
        <f>D65-B65</f>
        <v/>
      </c>
      <c r="H65" s="10">
        <f>(D65/B65)-1</f>
        <v/>
      </c>
      <c r="I65" s="7" t="n"/>
      <c r="J65" s="1" t="n">
        <v>42822</v>
      </c>
      <c r="K65" s="25" t="n">
        <v>2913.48</v>
      </c>
      <c r="L65" s="1" t="n">
        <v>43187</v>
      </c>
      <c r="M65" s="25" t="n">
        <v>2780.04</v>
      </c>
      <c r="N65" s="26">
        <f>M65-K65</f>
        <v/>
      </c>
      <c r="O65" s="7">
        <f>(M65/K65)-1</f>
        <v/>
      </c>
      <c r="P65" s="4" t="n"/>
    </row>
    <row hidden="1" r="66" s="64" spans="1:23">
      <c r="A66" s="1" t="n">
        <v>41943</v>
      </c>
      <c r="B66" s="27" t="n">
        <v>2050.52</v>
      </c>
      <c r="C66" s="1" t="n">
        <v>42308</v>
      </c>
      <c r="D66" s="25" t="n">
        <v>2897.83</v>
      </c>
      <c r="E66" s="25" t="n"/>
      <c r="F66" s="25" t="n"/>
      <c r="G66" s="28">
        <f>D66-B66</f>
        <v/>
      </c>
      <c r="H66" s="10">
        <f>(D66/B66)-1</f>
        <v/>
      </c>
      <c r="I66" s="7" t="n"/>
      <c r="J66" s="1" t="n">
        <v>42822</v>
      </c>
      <c r="K66" s="25" t="n">
        <v>2913.48</v>
      </c>
      <c r="L66" s="1" t="n">
        <v>43187</v>
      </c>
      <c r="M66" s="25" t="n">
        <v>2780.04</v>
      </c>
      <c r="N66" s="26">
        <f>M66-K66</f>
        <v/>
      </c>
      <c r="O66" s="7">
        <f>(M66/K66)-1</f>
        <v/>
      </c>
      <c r="P66" s="4" t="n"/>
    </row>
    <row hidden="1" r="67" s="64" spans="1:23">
      <c r="A67" s="1" t="n">
        <v>41944</v>
      </c>
      <c r="B67" s="27" t="n">
        <v>2061.92</v>
      </c>
      <c r="C67" s="1" t="n">
        <v>42309</v>
      </c>
      <c r="D67" s="25" t="n">
        <v>2897.83</v>
      </c>
      <c r="E67" s="25" t="n"/>
      <c r="F67" s="25" t="n"/>
      <c r="G67" s="28">
        <f>D67-B67</f>
        <v/>
      </c>
      <c r="H67" s="10">
        <f>(D67/B67)-1</f>
        <v/>
      </c>
      <c r="I67" s="7" t="n"/>
      <c r="J67" s="1" t="n">
        <v>42822</v>
      </c>
      <c r="K67" s="25" t="n">
        <v>2913.48</v>
      </c>
      <c r="L67" s="1" t="n">
        <v>43187</v>
      </c>
      <c r="M67" s="25" t="n">
        <v>2780.04</v>
      </c>
      <c r="N67" s="26">
        <f>M67-K67</f>
        <v/>
      </c>
      <c r="O67" s="7">
        <f>(M67/K67)-1</f>
        <v/>
      </c>
      <c r="P67" s="4" t="n"/>
    </row>
    <row hidden="1" r="68" s="64" spans="1:23">
      <c r="A68" s="1" t="n">
        <v>41945</v>
      </c>
      <c r="B68" s="27" t="n">
        <v>2061.92</v>
      </c>
      <c r="C68" s="1" t="n">
        <v>42310</v>
      </c>
      <c r="D68" s="25" t="n">
        <v>2897.83</v>
      </c>
      <c r="E68" s="25" t="n"/>
      <c r="F68" s="25" t="n"/>
      <c r="G68" s="28">
        <f>D68-B68</f>
        <v/>
      </c>
      <c r="H68" s="10">
        <f>(D68/B68)-1</f>
        <v/>
      </c>
      <c r="I68" s="7" t="n"/>
      <c r="J68" s="1" t="n">
        <v>42822</v>
      </c>
      <c r="K68" s="25" t="n">
        <v>2913.48</v>
      </c>
      <c r="L68" s="1" t="n">
        <v>43187</v>
      </c>
      <c r="M68" s="25" t="n">
        <v>2780.04</v>
      </c>
      <c r="N68" s="26">
        <f>M68-K68</f>
        <v/>
      </c>
      <c r="O68" s="7">
        <f>(M68/K68)-1</f>
        <v/>
      </c>
      <c r="P68" s="4" t="n"/>
    </row>
    <row hidden="1" r="69" s="64" spans="1:23">
      <c r="A69" s="1" t="n">
        <v>41946</v>
      </c>
      <c r="B69" s="27" t="n">
        <v>2061.92</v>
      </c>
      <c r="C69" s="1" t="n">
        <v>42311</v>
      </c>
      <c r="D69" s="25" t="n">
        <v>2897.83</v>
      </c>
      <c r="E69" s="25" t="n"/>
      <c r="F69" s="25" t="n"/>
      <c r="G69" s="28">
        <f>D69-B69</f>
        <v/>
      </c>
      <c r="H69" s="10">
        <f>(D69/B69)-1</f>
        <v/>
      </c>
      <c r="I69" s="7" t="n"/>
      <c r="J69" s="1" t="n">
        <v>42822</v>
      </c>
      <c r="K69" s="25" t="n">
        <v>2913.48</v>
      </c>
      <c r="L69" s="1" t="n">
        <v>43187</v>
      </c>
      <c r="M69" s="25" t="n">
        <v>2780.04</v>
      </c>
      <c r="N69" s="26">
        <f>M69-K69</f>
        <v/>
      </c>
      <c r="O69" s="7">
        <f>(M69/K69)-1</f>
        <v/>
      </c>
      <c r="P69" s="4" t="n"/>
    </row>
    <row hidden="1" r="70" s="64" spans="1:23">
      <c r="A70" s="1" t="n">
        <v>41947</v>
      </c>
      <c r="B70" s="27" t="n">
        <v>2061.92</v>
      </c>
      <c r="C70" s="1" t="n">
        <v>42312</v>
      </c>
      <c r="D70" s="25" t="n">
        <v>2825.25</v>
      </c>
      <c r="E70" s="25" t="n"/>
      <c r="F70" s="25" t="n"/>
      <c r="G70" s="28">
        <f>D70-B70</f>
        <v/>
      </c>
      <c r="H70" s="10">
        <f>(D70/B70)-1</f>
        <v/>
      </c>
      <c r="I70" s="7" t="n"/>
      <c r="J70" s="1" t="n">
        <v>42822</v>
      </c>
      <c r="K70" s="25" t="n">
        <v>2913.48</v>
      </c>
      <c r="L70" s="1" t="n">
        <v>43187</v>
      </c>
      <c r="M70" s="25" t="n">
        <v>2780.04</v>
      </c>
      <c r="N70" s="26">
        <f>M70-K70</f>
        <v/>
      </c>
      <c r="O70" s="7">
        <f>(M70/K70)-1</f>
        <v/>
      </c>
      <c r="P70" s="4" t="n"/>
    </row>
    <row hidden="1" r="71" s="64" spans="1:23">
      <c r="A71" s="1" t="n">
        <v>41948</v>
      </c>
      <c r="B71" s="27" t="n">
        <v>2076.99</v>
      </c>
      <c r="C71" s="1" t="n">
        <v>42313</v>
      </c>
      <c r="D71" s="25" t="n">
        <v>2819.63</v>
      </c>
      <c r="E71" s="25" t="n"/>
      <c r="F71" s="25" t="n"/>
      <c r="G71" s="28">
        <f>D71-B71</f>
        <v/>
      </c>
      <c r="H71" s="10">
        <f>(D71/B71)-1</f>
        <v/>
      </c>
      <c r="I71" s="7" t="n"/>
      <c r="J71" s="1" t="n">
        <v>42822</v>
      </c>
      <c r="K71" s="25" t="n">
        <v>2913.48</v>
      </c>
      <c r="L71" s="1" t="n">
        <v>43187</v>
      </c>
      <c r="M71" s="25" t="n">
        <v>2780.04</v>
      </c>
      <c r="N71" s="26">
        <f>M71-K71</f>
        <v/>
      </c>
      <c r="O71" s="7">
        <f>(M71/K71)-1</f>
        <v/>
      </c>
      <c r="P71" s="4" t="n"/>
    </row>
    <row hidden="1" r="72" s="64" spans="1:23">
      <c r="A72" s="1" t="n">
        <v>41949</v>
      </c>
      <c r="B72" s="27" t="n">
        <v>2081.24</v>
      </c>
      <c r="C72" s="1" t="n">
        <v>42314</v>
      </c>
      <c r="D72" s="25" t="n">
        <v>2853.32</v>
      </c>
      <c r="E72" s="25" t="n"/>
      <c r="F72" s="25" t="n"/>
      <c r="G72" s="28">
        <f>D72-B72</f>
        <v/>
      </c>
      <c r="H72" s="10">
        <f>(D72/B72)-1</f>
        <v/>
      </c>
      <c r="I72" s="7" t="n"/>
      <c r="J72" s="1" t="n">
        <v>42822</v>
      </c>
      <c r="K72" s="25" t="n">
        <v>2913.48</v>
      </c>
      <c r="L72" s="1" t="n">
        <v>43187</v>
      </c>
      <c r="M72" s="25" t="n">
        <v>2780.04</v>
      </c>
      <c r="N72" s="26">
        <f>M72-K72</f>
        <v/>
      </c>
      <c r="O72" s="7">
        <f>(M72/K72)-1</f>
        <v/>
      </c>
      <c r="P72" s="4" t="n"/>
    </row>
    <row hidden="1" r="73" s="64" spans="1:23">
      <c r="A73" s="1" t="n">
        <v>41950</v>
      </c>
      <c r="B73" s="27" t="n">
        <v>2086.86</v>
      </c>
      <c r="C73" s="1" t="n">
        <v>42315</v>
      </c>
      <c r="D73" s="25" t="n">
        <v>2896.19</v>
      </c>
      <c r="E73" s="25" t="n"/>
      <c r="F73" s="25" t="n"/>
      <c r="G73" s="28">
        <f>D73-B73</f>
        <v/>
      </c>
      <c r="H73" s="10">
        <f>(D73/B73)-1</f>
        <v/>
      </c>
      <c r="I73" s="7" t="n"/>
      <c r="J73" s="1" t="n">
        <v>42822</v>
      </c>
      <c r="K73" s="25" t="n">
        <v>2913.48</v>
      </c>
      <c r="L73" s="1" t="n">
        <v>43187</v>
      </c>
      <c r="M73" s="25" t="n">
        <v>2780.04</v>
      </c>
      <c r="N73" s="26">
        <f>M73-K73</f>
        <v/>
      </c>
      <c r="O73" s="7">
        <f>(M73/K73)-1</f>
        <v/>
      </c>
      <c r="P73" s="4" t="n"/>
    </row>
    <row hidden="1" r="74" s="64" spans="1:23">
      <c r="A74" s="1" t="n">
        <v>41951</v>
      </c>
      <c r="B74" s="27" t="n">
        <v>2103.25</v>
      </c>
      <c r="C74" s="1" t="n">
        <v>42316</v>
      </c>
      <c r="D74" s="25" t="n">
        <v>2896.19</v>
      </c>
      <c r="E74" s="25" t="n"/>
      <c r="F74" s="25" t="n"/>
      <c r="G74" s="28">
        <f>D74-B74</f>
        <v/>
      </c>
      <c r="H74" s="10">
        <f>(D74/B74)-1</f>
        <v/>
      </c>
      <c r="I74" s="7" t="n"/>
      <c r="J74" s="1" t="n">
        <v>42822</v>
      </c>
      <c r="K74" s="25" t="n">
        <v>2913.48</v>
      </c>
      <c r="L74" s="1" t="n">
        <v>43187</v>
      </c>
      <c r="M74" s="25" t="n">
        <v>2780.04</v>
      </c>
      <c r="N74" s="26">
        <f>M74-K74</f>
        <v/>
      </c>
      <c r="O74" s="7">
        <f>(M74/K74)-1</f>
        <v/>
      </c>
      <c r="P74" s="4" t="n"/>
    </row>
    <row hidden="1" r="75" s="64" spans="1:23">
      <c r="A75" s="1" t="n">
        <v>41952</v>
      </c>
      <c r="B75" s="27" t="n">
        <v>2103.25</v>
      </c>
      <c r="C75" s="1" t="n">
        <v>42317</v>
      </c>
      <c r="D75" s="25" t="n">
        <v>2896.19</v>
      </c>
      <c r="E75" s="25" t="n"/>
      <c r="F75" s="25" t="n"/>
      <c r="G75" s="28">
        <f>D75-B75</f>
        <v/>
      </c>
      <c r="H75" s="10">
        <f>(D75/B75)-1</f>
        <v/>
      </c>
      <c r="I75" s="7" t="n"/>
      <c r="J75" s="1" t="n">
        <v>42822</v>
      </c>
      <c r="K75" s="25" t="n">
        <v>2913.48</v>
      </c>
      <c r="L75" s="1" t="n">
        <v>43187</v>
      </c>
      <c r="M75" s="25" t="n">
        <v>2780.04</v>
      </c>
      <c r="N75" s="26">
        <f>M75-K75</f>
        <v/>
      </c>
      <c r="O75" s="7">
        <f>(M75/K75)-1</f>
        <v/>
      </c>
      <c r="P75" s="4" t="n"/>
    </row>
    <row hidden="1" r="76" s="64" spans="1:23">
      <c r="A76" s="1" t="n">
        <v>41953</v>
      </c>
      <c r="B76" s="27" t="n">
        <v>2103.25</v>
      </c>
      <c r="C76" s="1" t="n">
        <v>42318</v>
      </c>
      <c r="D76" s="25" t="n">
        <v>2921.15</v>
      </c>
      <c r="E76" s="25" t="n"/>
      <c r="F76" s="25" t="n"/>
      <c r="G76" s="28">
        <f>D76-B76</f>
        <v/>
      </c>
      <c r="H76" s="10">
        <f>(D76/B76)-1</f>
        <v/>
      </c>
      <c r="I76" s="7" t="n"/>
      <c r="J76" s="1" t="n">
        <v>42822</v>
      </c>
      <c r="K76" s="25" t="n">
        <v>2913.48</v>
      </c>
      <c r="L76" s="1" t="n">
        <v>43187</v>
      </c>
      <c r="M76" s="25" t="n">
        <v>2780.04</v>
      </c>
      <c r="N76" s="26">
        <f>M76-K76</f>
        <v/>
      </c>
      <c r="O76" s="7">
        <f>(M76/K76)-1</f>
        <v/>
      </c>
      <c r="P76" s="4" t="n"/>
    </row>
    <row hidden="1" r="77" s="64" spans="1:23">
      <c r="A77" s="1" t="n">
        <v>41954</v>
      </c>
      <c r="B77" s="27" t="n">
        <v>2103.12</v>
      </c>
      <c r="C77" s="1" t="n">
        <v>42319</v>
      </c>
      <c r="D77" s="25" t="n">
        <v>2935.86</v>
      </c>
      <c r="E77" s="25" t="n"/>
      <c r="F77" s="25" t="n"/>
      <c r="G77" s="28">
        <f>D77-B77</f>
        <v/>
      </c>
      <c r="H77" s="10">
        <f>(D77/B77)-1</f>
        <v/>
      </c>
      <c r="I77" s="7" t="n"/>
      <c r="J77" s="1" t="n">
        <v>42822</v>
      </c>
      <c r="K77" s="25" t="n">
        <v>2913.48</v>
      </c>
      <c r="L77" s="1" t="n">
        <v>43187</v>
      </c>
      <c r="M77" s="25" t="n">
        <v>2780.04</v>
      </c>
      <c r="N77" s="26">
        <f>M77-K77</f>
        <v/>
      </c>
      <c r="O77" s="7">
        <f>(M77/K77)-1</f>
        <v/>
      </c>
      <c r="P77" s="4" t="n"/>
    </row>
    <row hidden="1" r="78" s="64" spans="1:23">
      <c r="A78" s="1" t="n">
        <v>41955</v>
      </c>
      <c r="B78" s="27" t="n">
        <v>2103.12</v>
      </c>
      <c r="C78" s="1" t="n">
        <v>42320</v>
      </c>
      <c r="D78" s="25" t="n">
        <v>2935.86</v>
      </c>
      <c r="E78" s="25" t="n"/>
      <c r="F78" s="25" t="n"/>
      <c r="G78" s="28">
        <f>D78-B78</f>
        <v/>
      </c>
      <c r="H78" s="10">
        <f>(D78/B78)-1</f>
        <v/>
      </c>
      <c r="I78" s="7" t="n"/>
      <c r="J78" s="1" t="n">
        <v>42822</v>
      </c>
      <c r="K78" s="25" t="n">
        <v>2913.48</v>
      </c>
      <c r="L78" s="1" t="n">
        <v>43187</v>
      </c>
      <c r="M78" s="25" t="n">
        <v>2780.04</v>
      </c>
      <c r="N78" s="26">
        <f>M78-K78</f>
        <v/>
      </c>
      <c r="O78" s="7">
        <f>(M78/K78)-1</f>
        <v/>
      </c>
      <c r="P78" s="4" t="n"/>
    </row>
    <row hidden="1" r="79" s="64" spans="1:23">
      <c r="A79" s="1" t="n">
        <v>41956</v>
      </c>
      <c r="B79" s="27" t="n">
        <v>2115.59</v>
      </c>
      <c r="C79" s="1" t="n">
        <v>42321</v>
      </c>
      <c r="D79" s="25" t="n">
        <v>3009.36</v>
      </c>
      <c r="E79" s="25" t="n"/>
      <c r="F79" s="25" t="n"/>
      <c r="G79" s="28">
        <f>D79-B79</f>
        <v/>
      </c>
      <c r="H79" s="10">
        <f>(D79/B79)-1</f>
        <v/>
      </c>
      <c r="I79" s="7" t="n"/>
      <c r="J79" s="1" t="n">
        <v>42822</v>
      </c>
      <c r="K79" s="25" t="n">
        <v>2913.48</v>
      </c>
      <c r="L79" s="1" t="n">
        <v>43187</v>
      </c>
      <c r="M79" s="25" t="n">
        <v>2780.04</v>
      </c>
      <c r="N79" s="26">
        <f>M79-K79</f>
        <v/>
      </c>
      <c r="O79" s="7">
        <f>(M79/K79)-1</f>
        <v/>
      </c>
      <c r="P79" s="4" t="n"/>
    </row>
    <row hidden="1" r="80" s="64" spans="1:23">
      <c r="A80" s="1" t="n">
        <v>41957</v>
      </c>
      <c r="B80" s="27" t="n">
        <v>2133.03</v>
      </c>
      <c r="C80" s="1" t="n">
        <v>42322</v>
      </c>
      <c r="D80" s="25" t="n">
        <v>3073.23</v>
      </c>
      <c r="E80" s="25" t="n"/>
      <c r="F80" s="25" t="n"/>
      <c r="G80" s="28">
        <f>D80-B80</f>
        <v/>
      </c>
      <c r="H80" s="10">
        <f>(D80/B80)-1</f>
        <v/>
      </c>
      <c r="I80" s="7" t="n"/>
      <c r="J80" s="1" t="n">
        <v>42822</v>
      </c>
      <c r="K80" s="25" t="n">
        <v>2913.48</v>
      </c>
      <c r="L80" s="1" t="n">
        <v>43187</v>
      </c>
      <c r="M80" s="25" t="n">
        <v>2780.04</v>
      </c>
      <c r="N80" s="26">
        <f>M80-K80</f>
        <v/>
      </c>
      <c r="O80" s="7">
        <f>(M80/K80)-1</f>
        <v/>
      </c>
      <c r="P80" s="4" t="n"/>
    </row>
    <row hidden="1" r="81" s="64" spans="1:23">
      <c r="A81" s="1" t="n">
        <v>41958</v>
      </c>
      <c r="B81" s="27" t="n">
        <v>2160.47</v>
      </c>
      <c r="C81" s="1" t="n">
        <v>42323</v>
      </c>
      <c r="D81" s="25" t="n">
        <v>3073.23</v>
      </c>
      <c r="E81" s="25" t="n"/>
      <c r="F81" s="25" t="n"/>
      <c r="G81" s="28">
        <f>D81-B81</f>
        <v/>
      </c>
      <c r="H81" s="10">
        <f>(D81/B81)-1</f>
        <v/>
      </c>
      <c r="I81" s="7" t="n"/>
      <c r="J81" s="1" t="n">
        <v>42822</v>
      </c>
      <c r="K81" s="25" t="n">
        <v>2913.48</v>
      </c>
      <c r="L81" s="1" t="n">
        <v>43187</v>
      </c>
      <c r="M81" s="25" t="n">
        <v>2780.04</v>
      </c>
      <c r="N81" s="26">
        <f>M81-K81</f>
        <v/>
      </c>
      <c r="O81" s="7">
        <f>(M81/K81)-1</f>
        <v/>
      </c>
      <c r="P81" s="4" t="n"/>
    </row>
    <row hidden="1" r="82" s="64" spans="1:23">
      <c r="A82" s="1" t="n">
        <v>41959</v>
      </c>
      <c r="B82" s="27" t="n">
        <v>2160.47</v>
      </c>
      <c r="C82" s="1" t="n">
        <v>42324</v>
      </c>
      <c r="D82" s="25" t="n">
        <v>3073.23</v>
      </c>
      <c r="E82" s="25" t="n"/>
      <c r="F82" s="25" t="n"/>
      <c r="G82" s="28">
        <f>D82-B82</f>
        <v/>
      </c>
      <c r="H82" s="10">
        <f>(D82/B82)-1</f>
        <v/>
      </c>
      <c r="I82" s="7" t="n"/>
      <c r="J82" s="1" t="n">
        <v>42822</v>
      </c>
      <c r="K82" s="25" t="n">
        <v>2913.48</v>
      </c>
      <c r="L82" s="1" t="n">
        <v>43187</v>
      </c>
      <c r="M82" s="25" t="n">
        <v>2780.04</v>
      </c>
      <c r="N82" s="26">
        <f>M82-K82</f>
        <v/>
      </c>
      <c r="O82" s="7">
        <f>(M82/K82)-1</f>
        <v/>
      </c>
      <c r="P82" s="4" t="n"/>
    </row>
    <row hidden="1" r="83" s="64" spans="1:23">
      <c r="A83" s="1" t="n">
        <v>41960</v>
      </c>
      <c r="B83" s="27" t="n">
        <v>2160.47</v>
      </c>
      <c r="C83" s="1" t="n">
        <v>42325</v>
      </c>
      <c r="D83" s="25" t="n">
        <v>3073.23</v>
      </c>
      <c r="E83" s="25" t="n"/>
      <c r="F83" s="25" t="n"/>
      <c r="G83" s="28">
        <f>D83-B83</f>
        <v/>
      </c>
      <c r="H83" s="10">
        <f>(D83/B83)-1</f>
        <v/>
      </c>
      <c r="I83" s="7" t="n"/>
      <c r="J83" s="1" t="n">
        <v>42822</v>
      </c>
      <c r="K83" s="25" t="n">
        <v>2913.48</v>
      </c>
      <c r="L83" s="1" t="n">
        <v>43187</v>
      </c>
      <c r="M83" s="25" t="n">
        <v>2780.04</v>
      </c>
      <c r="N83" s="26">
        <f>M83-K83</f>
        <v/>
      </c>
      <c r="O83" s="7">
        <f>(M83/K83)-1</f>
        <v/>
      </c>
      <c r="P83" s="4" t="n"/>
    </row>
    <row hidden="1" r="84" s="64" spans="1:23">
      <c r="A84" s="1" t="n">
        <v>41961</v>
      </c>
      <c r="B84" s="27" t="n">
        <v>2160.47</v>
      </c>
      <c r="C84" s="1" t="n">
        <v>42326</v>
      </c>
      <c r="D84" s="25" t="n">
        <v>3069.24</v>
      </c>
      <c r="E84" s="25" t="n"/>
      <c r="F84" s="25" t="n"/>
      <c r="G84" s="28">
        <f>D84-B84</f>
        <v/>
      </c>
      <c r="H84" s="10">
        <f>(D84/B84)-1</f>
        <v/>
      </c>
      <c r="I84" s="7" t="n"/>
      <c r="J84" s="1" t="n">
        <v>42822</v>
      </c>
      <c r="K84" s="25" t="n">
        <v>2913.48</v>
      </c>
      <c r="L84" s="1" t="n">
        <v>43187</v>
      </c>
      <c r="M84" s="25" t="n">
        <v>2780.04</v>
      </c>
      <c r="N84" s="26">
        <f>M84-K84</f>
        <v/>
      </c>
      <c r="O84" s="7">
        <f>(M84/K84)-1</f>
        <v/>
      </c>
      <c r="P84" s="4" t="n"/>
    </row>
    <row hidden="1" r="85" s="64" spans="1:23">
      <c r="A85" s="1" t="n">
        <v>41962</v>
      </c>
      <c r="B85" s="27" t="n">
        <v>2158.58</v>
      </c>
      <c r="C85" s="1" t="n">
        <v>42327</v>
      </c>
      <c r="D85" s="25" t="n">
        <v>3108.7</v>
      </c>
      <c r="E85" s="25" t="n"/>
      <c r="F85" s="25" t="n"/>
      <c r="G85" s="28">
        <f>D85-B85</f>
        <v/>
      </c>
      <c r="H85" s="10">
        <f>(D85/B85)-1</f>
        <v/>
      </c>
      <c r="I85" s="7" t="n"/>
      <c r="J85" s="1" t="n">
        <v>42822</v>
      </c>
      <c r="K85" s="25" t="n">
        <v>2913.48</v>
      </c>
      <c r="L85" s="1" t="n">
        <v>43187</v>
      </c>
      <c r="M85" s="25" t="n">
        <v>2780.04</v>
      </c>
      <c r="N85" s="26">
        <f>M85-K85</f>
        <v/>
      </c>
      <c r="O85" s="7">
        <f>(M85/K85)-1</f>
        <v/>
      </c>
      <c r="P85" s="4" t="n"/>
    </row>
    <row hidden="1" r="86" s="64" spans="1:23">
      <c r="A86" s="1" t="n">
        <v>41963</v>
      </c>
      <c r="B86" s="27" t="n">
        <v>2156.73</v>
      </c>
      <c r="C86" s="1" t="n">
        <v>42328</v>
      </c>
      <c r="D86" s="25" t="n">
        <v>3082.04</v>
      </c>
      <c r="E86" s="25" t="n"/>
      <c r="F86" s="25" t="n"/>
      <c r="G86" s="28">
        <f>D86-B86</f>
        <v/>
      </c>
      <c r="H86" s="10">
        <f>(D86/B86)-1</f>
        <v/>
      </c>
      <c r="I86" s="7" t="n"/>
      <c r="J86" s="1" t="n">
        <v>42822</v>
      </c>
      <c r="K86" s="25" t="n">
        <v>2913.48</v>
      </c>
      <c r="L86" s="1" t="n">
        <v>43187</v>
      </c>
      <c r="M86" s="25" t="n">
        <v>2780.04</v>
      </c>
      <c r="N86" s="26">
        <f>M86-K86</f>
        <v/>
      </c>
      <c r="O86" s="7">
        <f>(M86/K86)-1</f>
        <v/>
      </c>
      <c r="P86" s="4" t="n"/>
    </row>
    <row hidden="1" r="87" s="64" spans="1:23">
      <c r="A87" s="1" t="n">
        <v>41964</v>
      </c>
      <c r="B87" s="27" t="n">
        <v>2156.93</v>
      </c>
      <c r="C87" s="1" t="n">
        <v>42329</v>
      </c>
      <c r="D87" s="25" t="n">
        <v>3047.31</v>
      </c>
      <c r="E87" s="25" t="n"/>
      <c r="F87" s="25" t="n"/>
      <c r="G87" s="28">
        <f>D87-B87</f>
        <v/>
      </c>
      <c r="H87" s="10">
        <f>(D87/B87)-1</f>
        <v/>
      </c>
      <c r="I87" s="7" t="n"/>
      <c r="J87" s="1" t="n">
        <v>42822</v>
      </c>
      <c r="K87" s="25" t="n">
        <v>2913.48</v>
      </c>
      <c r="L87" s="1" t="n">
        <v>43187</v>
      </c>
      <c r="M87" s="25" t="n">
        <v>2780.04</v>
      </c>
      <c r="N87" s="26">
        <f>M87-K87</f>
        <v/>
      </c>
      <c r="O87" s="7">
        <f>(M87/K87)-1</f>
        <v/>
      </c>
      <c r="P87" s="4" t="n"/>
    </row>
    <row hidden="1" r="88" s="64" spans="1:23">
      <c r="A88" s="1" t="n">
        <v>41965</v>
      </c>
      <c r="B88" s="27" t="n">
        <v>2142.02</v>
      </c>
      <c r="C88" s="1" t="n">
        <v>42330</v>
      </c>
      <c r="D88" s="25" t="n">
        <v>3047.31</v>
      </c>
      <c r="E88" s="25" t="n"/>
      <c r="F88" s="25" t="n"/>
      <c r="G88" s="28">
        <f>D88-B88</f>
        <v/>
      </c>
      <c r="H88" s="10">
        <f>(D88/B88)-1</f>
        <v/>
      </c>
      <c r="I88" s="7" t="n"/>
      <c r="J88" s="1" t="n">
        <v>42822</v>
      </c>
      <c r="K88" s="25" t="n">
        <v>2913.48</v>
      </c>
      <c r="L88" s="1" t="n">
        <v>43187</v>
      </c>
      <c r="M88" s="25" t="n">
        <v>2780.04</v>
      </c>
      <c r="N88" s="26">
        <f>M88-K88</f>
        <v/>
      </c>
      <c r="O88" s="7">
        <f>(M88/K88)-1</f>
        <v/>
      </c>
      <c r="P88" s="4" t="n"/>
    </row>
    <row hidden="1" r="89" s="64" spans="1:23">
      <c r="A89" s="1" t="n">
        <v>41966</v>
      </c>
      <c r="B89" s="27" t="n">
        <v>2142.02</v>
      </c>
      <c r="C89" s="1" t="n">
        <v>42331</v>
      </c>
      <c r="D89" s="25" t="n">
        <v>3047.31</v>
      </c>
      <c r="E89" s="25" t="n"/>
      <c r="F89" s="25" t="n"/>
      <c r="G89" s="28">
        <f>D89-B89</f>
        <v/>
      </c>
      <c r="H89" s="10">
        <f>(D89/B89)-1</f>
        <v/>
      </c>
      <c r="I89" s="7" t="n"/>
      <c r="J89" s="1" t="n">
        <v>42822</v>
      </c>
      <c r="K89" s="25" t="n">
        <v>2913.48</v>
      </c>
      <c r="L89" s="1" t="n">
        <v>43187</v>
      </c>
      <c r="M89" s="25" t="n">
        <v>2780.04</v>
      </c>
      <c r="N89" s="26">
        <f>M89-K89</f>
        <v/>
      </c>
      <c r="O89" s="7">
        <f>(M89/K89)-1</f>
        <v/>
      </c>
      <c r="P89" s="4" t="n"/>
    </row>
    <row hidden="1" r="90" s="64" spans="1:23">
      <c r="A90" s="1" t="n">
        <v>41967</v>
      </c>
      <c r="B90" s="27" t="n">
        <v>2142.02</v>
      </c>
      <c r="C90" s="1" t="n">
        <v>42332</v>
      </c>
      <c r="D90" s="25" t="n">
        <v>3086.82</v>
      </c>
      <c r="E90" s="25" t="n"/>
      <c r="F90" s="25" t="n"/>
      <c r="G90" s="28">
        <f>D90-B90</f>
        <v/>
      </c>
      <c r="H90" s="10">
        <f>(D90/B90)-1</f>
        <v/>
      </c>
      <c r="I90" s="7" t="n"/>
      <c r="J90" s="1" t="n">
        <v>42822</v>
      </c>
      <c r="K90" s="25" t="n">
        <v>2913.48</v>
      </c>
      <c r="L90" s="1" t="n">
        <v>43187</v>
      </c>
      <c r="M90" s="25" t="n">
        <v>2780.04</v>
      </c>
      <c r="N90" s="26">
        <f>M90-K90</f>
        <v/>
      </c>
      <c r="O90" s="7">
        <f>(M90/K90)-1</f>
        <v/>
      </c>
      <c r="P90" s="4" t="n"/>
    </row>
    <row hidden="1" r="91" s="64" spans="1:23">
      <c r="A91" s="1" t="n">
        <v>41968</v>
      </c>
      <c r="B91" s="27" t="n">
        <v>2158.12</v>
      </c>
      <c r="C91" s="1" t="n">
        <v>42333</v>
      </c>
      <c r="D91" s="25" t="n">
        <v>3074.35</v>
      </c>
      <c r="E91" s="25" t="n"/>
      <c r="F91" s="25" t="n"/>
      <c r="G91" s="28">
        <f>D91-B91</f>
        <v/>
      </c>
      <c r="H91" s="10">
        <f>(D91/B91)-1</f>
        <v/>
      </c>
      <c r="I91" s="7" t="n"/>
      <c r="J91" s="1" t="n">
        <v>42822</v>
      </c>
      <c r="K91" s="25" t="n">
        <v>2913.48</v>
      </c>
      <c r="L91" s="1" t="n">
        <v>43187</v>
      </c>
      <c r="M91" s="25" t="n">
        <v>2780.04</v>
      </c>
      <c r="N91" s="26">
        <f>M91-K91</f>
        <v/>
      </c>
      <c r="O91" s="7">
        <f>(M91/K91)-1</f>
        <v/>
      </c>
      <c r="P91" s="4" t="n"/>
    </row>
    <row hidden="1" r="92" s="64" spans="1:23">
      <c r="A92" s="1" t="n">
        <v>41969</v>
      </c>
      <c r="B92" s="27" t="n">
        <v>2162.15</v>
      </c>
      <c r="C92" s="1" t="n">
        <v>42334</v>
      </c>
      <c r="D92" s="25" t="n">
        <v>3099.75</v>
      </c>
      <c r="E92" s="25" t="n"/>
      <c r="F92" s="25" t="n"/>
      <c r="G92" s="28">
        <f>D92-B92</f>
        <v/>
      </c>
      <c r="H92" s="10">
        <f>(D92/B92)-1</f>
        <v/>
      </c>
      <c r="I92" s="7" t="n"/>
      <c r="J92" s="1" t="n">
        <v>42822</v>
      </c>
      <c r="K92" s="25" t="n">
        <v>2913.48</v>
      </c>
      <c r="L92" s="1" t="n">
        <v>43187</v>
      </c>
      <c r="M92" s="25" t="n">
        <v>2780.04</v>
      </c>
      <c r="N92" s="26">
        <f>M92-K92</f>
        <v/>
      </c>
      <c r="O92" s="7">
        <f>(M92/K92)-1</f>
        <v/>
      </c>
      <c r="P92" s="4" t="n"/>
    </row>
    <row hidden="1" r="93" s="64" spans="1:23">
      <c r="A93" s="1" t="n">
        <v>41970</v>
      </c>
      <c r="B93" s="27" t="n">
        <v>2165.15</v>
      </c>
      <c r="C93" s="1" t="n">
        <v>42335</v>
      </c>
      <c r="D93" s="25" t="n">
        <v>3099.75</v>
      </c>
      <c r="E93" s="25" t="n"/>
      <c r="F93" s="25" t="n"/>
      <c r="G93" s="28">
        <f>D93-B93</f>
        <v/>
      </c>
      <c r="H93" s="10">
        <f>(D93/B93)-1</f>
        <v/>
      </c>
      <c r="I93" s="7" t="n"/>
      <c r="J93" s="1" t="n">
        <v>42822</v>
      </c>
      <c r="K93" s="25" t="n">
        <v>2913.48</v>
      </c>
      <c r="L93" s="1" t="n">
        <v>43187</v>
      </c>
      <c r="M93" s="25" t="n">
        <v>2780.04</v>
      </c>
      <c r="N93" s="26">
        <f>M93-K93</f>
        <v/>
      </c>
      <c r="O93" s="7">
        <f>(M93/K93)-1</f>
        <v/>
      </c>
      <c r="P93" s="4" t="n"/>
    </row>
    <row hidden="1" r="94" s="64" spans="1:23">
      <c r="A94" s="1" t="n">
        <v>41971</v>
      </c>
      <c r="B94" s="27" t="n">
        <v>2165.15</v>
      </c>
      <c r="C94" s="1" t="n">
        <v>42336</v>
      </c>
      <c r="D94" s="25" t="n">
        <v>3101.1</v>
      </c>
      <c r="E94" s="25" t="n"/>
      <c r="F94" s="25" t="n"/>
      <c r="G94" s="28">
        <f>D94-B94</f>
        <v/>
      </c>
      <c r="H94" s="10">
        <f>(D94/B94)-1</f>
        <v/>
      </c>
      <c r="I94" s="7" t="n"/>
      <c r="J94" s="1" t="n">
        <v>42822</v>
      </c>
      <c r="K94" s="25" t="n">
        <v>2913.48</v>
      </c>
      <c r="L94" s="1" t="n">
        <v>43187</v>
      </c>
      <c r="M94" s="25" t="n">
        <v>2780.04</v>
      </c>
      <c r="N94" s="26">
        <f>M94-K94</f>
        <v/>
      </c>
      <c r="O94" s="7">
        <f>(M94/K94)-1</f>
        <v/>
      </c>
      <c r="P94" s="4" t="n"/>
    </row>
    <row hidden="1" r="95" s="64" spans="1:23">
      <c r="A95" s="1" t="n">
        <v>41972</v>
      </c>
      <c r="B95" s="27" t="n">
        <v>2206.19</v>
      </c>
      <c r="C95" s="1" t="n">
        <v>42337</v>
      </c>
      <c r="D95" s="25" t="n">
        <v>3101.1</v>
      </c>
      <c r="E95" s="25" t="n"/>
      <c r="F95" s="25" t="n"/>
      <c r="G95" s="28">
        <f>D95-B95</f>
        <v/>
      </c>
      <c r="H95" s="10">
        <f>(D95/B95)-1</f>
        <v/>
      </c>
      <c r="I95" s="7" t="n"/>
      <c r="J95" s="1" t="n">
        <v>42822</v>
      </c>
      <c r="K95" s="25" t="n">
        <v>2913.48</v>
      </c>
      <c r="L95" s="1" t="n">
        <v>43187</v>
      </c>
      <c r="M95" s="25" t="n">
        <v>2780.04</v>
      </c>
      <c r="N95" s="26">
        <f>M95-K95</f>
        <v/>
      </c>
      <c r="O95" s="7">
        <f>(M95/K95)-1</f>
        <v/>
      </c>
      <c r="P95" s="4" t="n"/>
    </row>
    <row hidden="1" r="96" s="64" spans="1:23">
      <c r="A96" s="1" t="n">
        <v>41973</v>
      </c>
      <c r="B96" s="27" t="n">
        <v>2206.19</v>
      </c>
      <c r="C96" s="1" t="n">
        <v>42338</v>
      </c>
      <c r="D96" s="25" t="n">
        <v>3101.1</v>
      </c>
      <c r="E96" s="25" t="n"/>
      <c r="F96" s="25" t="n"/>
      <c r="G96" s="28">
        <f>D96-B96</f>
        <v/>
      </c>
      <c r="H96" s="10">
        <f>(D96/B96)-1</f>
        <v/>
      </c>
      <c r="I96" s="7" t="n"/>
      <c r="J96" s="1" t="n">
        <v>42822</v>
      </c>
      <c r="K96" s="25" t="n">
        <v>2913.48</v>
      </c>
      <c r="L96" s="1" t="n">
        <v>43187</v>
      </c>
      <c r="M96" s="25" t="n">
        <v>2780.04</v>
      </c>
      <c r="N96" s="26">
        <f>M96-K96</f>
        <v/>
      </c>
      <c r="O96" s="7">
        <f>(M96/K96)-1</f>
        <v/>
      </c>
      <c r="P96" s="4" t="n"/>
    </row>
    <row hidden="1" r="97" s="64" spans="1:23">
      <c r="A97" s="1" t="n">
        <v>41974</v>
      </c>
      <c r="B97" s="27" t="n">
        <v>2206.19</v>
      </c>
      <c r="C97" s="1" t="n">
        <v>42339</v>
      </c>
      <c r="D97" s="25" t="n">
        <v>3142.11</v>
      </c>
      <c r="E97" s="25" t="n"/>
      <c r="F97" s="25" t="n"/>
      <c r="G97" s="28">
        <f>D97-B97</f>
        <v/>
      </c>
      <c r="H97" s="10">
        <f>(D97/B97)-1</f>
        <v/>
      </c>
      <c r="I97" s="7" t="n"/>
      <c r="J97" s="1" t="n">
        <v>42822</v>
      </c>
      <c r="K97" s="25" t="n">
        <v>2913.48</v>
      </c>
      <c r="L97" s="1" t="n">
        <v>43187</v>
      </c>
      <c r="M97" s="25" t="n">
        <v>2780.04</v>
      </c>
      <c r="N97" s="26">
        <f>M97-K97</f>
        <v/>
      </c>
      <c r="O97" s="7">
        <f>(M97/K97)-1</f>
        <v/>
      </c>
      <c r="P97" s="4" t="n"/>
    </row>
    <row hidden="1" r="98" s="64" spans="1:23">
      <c r="A98" s="1" t="n">
        <v>41975</v>
      </c>
      <c r="B98" s="27" t="n">
        <v>2252.36</v>
      </c>
      <c r="C98" s="1" t="n">
        <v>42340</v>
      </c>
      <c r="D98" s="25" t="n">
        <v>3131.95</v>
      </c>
      <c r="E98" s="25" t="n"/>
      <c r="F98" s="25" t="n"/>
      <c r="G98" s="28">
        <f>D98-B98</f>
        <v/>
      </c>
      <c r="H98" s="10">
        <f>(D98/B98)-1</f>
        <v/>
      </c>
      <c r="I98" s="7" t="n"/>
      <c r="J98" s="1" t="n">
        <v>42822</v>
      </c>
      <c r="K98" s="25" t="n">
        <v>2913.48</v>
      </c>
      <c r="L98" s="1" t="n">
        <v>43187</v>
      </c>
      <c r="M98" s="25" t="n">
        <v>2780.04</v>
      </c>
      <c r="N98" s="26">
        <f>M98-K98</f>
        <v/>
      </c>
      <c r="O98" s="7">
        <f>(M98/K98)-1</f>
        <v/>
      </c>
      <c r="P98" s="4" t="n"/>
    </row>
    <row hidden="1" r="99" s="64" spans="1:23">
      <c r="A99" s="1" t="n">
        <v>41976</v>
      </c>
      <c r="B99" s="27" t="n">
        <v>2293.47</v>
      </c>
      <c r="C99" s="1" t="n">
        <v>42341</v>
      </c>
      <c r="D99" s="25" t="n">
        <v>3166.67</v>
      </c>
      <c r="E99" s="25" t="n"/>
      <c r="F99" s="25" t="n"/>
      <c r="G99" s="28">
        <f>D99-B99</f>
        <v/>
      </c>
      <c r="H99" s="10">
        <f>(D99/B99)-1</f>
        <v/>
      </c>
      <c r="I99" s="7" t="n"/>
      <c r="J99" s="1" t="n">
        <v>42822</v>
      </c>
      <c r="K99" s="25" t="n">
        <v>2913.48</v>
      </c>
      <c r="L99" s="1" t="n">
        <v>43187</v>
      </c>
      <c r="M99" s="25" t="n">
        <v>2780.04</v>
      </c>
      <c r="N99" s="26">
        <f>M99-K99</f>
        <v/>
      </c>
      <c r="O99" s="7">
        <f>(M99/K99)-1</f>
        <v/>
      </c>
      <c r="P99" s="4" t="n"/>
    </row>
    <row hidden="1" r="100" s="64" spans="1:23">
      <c r="A100" s="1" t="n">
        <v>41977</v>
      </c>
      <c r="B100" s="27" t="n">
        <v>2286.03</v>
      </c>
      <c r="C100" s="1" t="n">
        <v>42342</v>
      </c>
      <c r="D100" s="25" t="n">
        <v>3149.12</v>
      </c>
      <c r="E100" s="25" t="n"/>
      <c r="F100" s="25" t="n"/>
      <c r="G100" s="28">
        <f>D100-B100</f>
        <v/>
      </c>
      <c r="H100" s="10">
        <f>(D100/B100)-1</f>
        <v/>
      </c>
      <c r="I100" s="7" t="n"/>
      <c r="J100" s="1" t="n">
        <v>42822</v>
      </c>
      <c r="K100" s="25" t="n">
        <v>2913.48</v>
      </c>
      <c r="L100" s="1" t="n">
        <v>43187</v>
      </c>
      <c r="M100" s="25" t="n">
        <v>2780.04</v>
      </c>
      <c r="N100" s="26">
        <f>M100-K100</f>
        <v/>
      </c>
      <c r="O100" s="7">
        <f>(M100/K100)-1</f>
        <v/>
      </c>
      <c r="P100" s="4" t="n"/>
    </row>
    <row hidden="1" r="101" s="64" spans="1:23">
      <c r="A101" s="1" t="n">
        <v>41978</v>
      </c>
      <c r="B101" s="27" t="n">
        <v>2284.24</v>
      </c>
      <c r="C101" s="1" t="n">
        <v>42343</v>
      </c>
      <c r="D101" s="25" t="n">
        <v>3179.22</v>
      </c>
      <c r="E101" s="25" t="n"/>
      <c r="F101" s="25" t="n"/>
      <c r="G101" s="28">
        <f>D101-B101</f>
        <v/>
      </c>
      <c r="H101" s="10">
        <f>(D101/B101)-1</f>
        <v/>
      </c>
      <c r="I101" s="7" t="n"/>
      <c r="J101" s="1" t="n">
        <v>42822</v>
      </c>
      <c r="K101" s="25" t="n">
        <v>2913.48</v>
      </c>
      <c r="L101" s="1" t="n">
        <v>43187</v>
      </c>
      <c r="M101" s="25" t="n">
        <v>2780.04</v>
      </c>
      <c r="N101" s="26">
        <f>M101-K101</f>
        <v/>
      </c>
      <c r="O101" s="7">
        <f>(M101/K101)-1</f>
        <v/>
      </c>
      <c r="P101" s="4" t="n"/>
    </row>
    <row hidden="1" r="102" s="64" spans="1:23">
      <c r="A102" s="1" t="n">
        <v>41979</v>
      </c>
      <c r="B102" s="27" t="n">
        <v>2304.12</v>
      </c>
      <c r="C102" s="1" t="n">
        <v>42344</v>
      </c>
      <c r="D102" s="25" t="n">
        <v>3179.22</v>
      </c>
      <c r="E102" s="25" t="n"/>
      <c r="F102" s="25" t="n"/>
      <c r="G102" s="28">
        <f>D102-B102</f>
        <v/>
      </c>
      <c r="H102" s="10">
        <f>(D102/B102)-1</f>
        <v/>
      </c>
      <c r="I102" s="7" t="n"/>
      <c r="J102" s="1" t="n">
        <v>42822</v>
      </c>
      <c r="K102" s="25" t="n">
        <v>2913.48</v>
      </c>
      <c r="L102" s="1" t="n">
        <v>43187</v>
      </c>
      <c r="M102" s="25" t="n">
        <v>2780.04</v>
      </c>
      <c r="N102" s="26">
        <f>M102-K102</f>
        <v/>
      </c>
      <c r="O102" s="7">
        <f>(M102/K102)-1</f>
        <v/>
      </c>
      <c r="P102" s="4" t="n"/>
    </row>
    <row hidden="1" r="103" s="64" spans="1:23">
      <c r="A103" s="1" t="n">
        <v>41980</v>
      </c>
      <c r="B103" s="27" t="n">
        <v>2304.12</v>
      </c>
      <c r="C103" s="1" t="n">
        <v>42345</v>
      </c>
      <c r="D103" s="25" t="n">
        <v>3179.22</v>
      </c>
      <c r="E103" s="25" t="n"/>
      <c r="F103" s="25" t="n"/>
      <c r="G103" s="28">
        <f>D103-B103</f>
        <v/>
      </c>
      <c r="H103" s="10">
        <f>(D103/B103)-1</f>
        <v/>
      </c>
      <c r="I103" s="7" t="n"/>
      <c r="J103" s="1" t="n">
        <v>42822</v>
      </c>
      <c r="K103" s="25" t="n">
        <v>2913.48</v>
      </c>
      <c r="L103" s="1" t="n">
        <v>43187</v>
      </c>
      <c r="M103" s="25" t="n">
        <v>2780.04</v>
      </c>
      <c r="N103" s="26">
        <f>M103-K103</f>
        <v/>
      </c>
      <c r="O103" s="7">
        <f>(M103/K103)-1</f>
        <v/>
      </c>
      <c r="P103" s="4" t="n"/>
    </row>
    <row hidden="1" r="104" s="64" spans="1:23">
      <c r="A104" s="1" t="n">
        <v>41981</v>
      </c>
      <c r="B104" s="27" t="n">
        <v>2304.12</v>
      </c>
      <c r="C104" s="1" t="n">
        <v>42346</v>
      </c>
      <c r="D104" s="25" t="n">
        <v>3287.03</v>
      </c>
      <c r="E104" s="25" t="n"/>
      <c r="F104" s="25" t="n"/>
      <c r="G104" s="28">
        <f>D104-B104</f>
        <v/>
      </c>
      <c r="H104" s="10">
        <f>(D104/B104)-1</f>
        <v/>
      </c>
      <c r="I104" s="7" t="n"/>
      <c r="J104" s="1" t="n">
        <v>42822</v>
      </c>
      <c r="K104" s="25" t="n">
        <v>2913.48</v>
      </c>
      <c r="L104" s="1" t="n">
        <v>43187</v>
      </c>
      <c r="M104" s="25" t="n">
        <v>2780.04</v>
      </c>
      <c r="N104" s="26">
        <f>M104-K104</f>
        <v/>
      </c>
      <c r="O104" s="7">
        <f>(M104/K104)-1</f>
        <v/>
      </c>
      <c r="P104" s="4" t="n"/>
    </row>
    <row hidden="1" r="105" s="64" spans="1:23">
      <c r="A105" s="1" t="n">
        <v>41982</v>
      </c>
      <c r="B105" s="27" t="n">
        <v>2304.12</v>
      </c>
      <c r="C105" s="1" t="n">
        <v>42347</v>
      </c>
      <c r="D105" s="25" t="n">
        <v>3287.03</v>
      </c>
      <c r="E105" s="25" t="n"/>
      <c r="F105" s="25" t="n"/>
      <c r="G105" s="28">
        <f>D105-B105</f>
        <v/>
      </c>
      <c r="H105" s="10">
        <f>(D105/B105)-1</f>
        <v/>
      </c>
      <c r="I105" s="7" t="n"/>
      <c r="J105" s="1" t="n">
        <v>42822</v>
      </c>
      <c r="K105" s="25" t="n">
        <v>2913.48</v>
      </c>
      <c r="L105" s="1" t="n">
        <v>43187</v>
      </c>
      <c r="M105" s="25" t="n">
        <v>2780.04</v>
      </c>
      <c r="N105" s="26">
        <f>M105-K105</f>
        <v/>
      </c>
      <c r="O105" s="7">
        <f>(M105/K105)-1</f>
        <v/>
      </c>
      <c r="P105" s="4" t="n"/>
    </row>
    <row hidden="1" r="106" s="64" spans="1:23">
      <c r="A106" s="1" t="n">
        <v>41983</v>
      </c>
      <c r="B106" s="27" t="n">
        <v>2350.01</v>
      </c>
      <c r="C106" s="1" t="n">
        <v>42348</v>
      </c>
      <c r="D106" s="25" t="n">
        <v>3294.02</v>
      </c>
      <c r="E106" s="25" t="n"/>
      <c r="F106" s="25" t="n"/>
      <c r="G106" s="28">
        <f>D106-B106</f>
        <v/>
      </c>
      <c r="H106" s="10">
        <f>(D106/B106)-1</f>
        <v/>
      </c>
      <c r="I106" s="7" t="n"/>
      <c r="J106" s="1" t="n">
        <v>42822</v>
      </c>
      <c r="K106" s="25" t="n">
        <v>2913.48</v>
      </c>
      <c r="L106" s="1" t="n">
        <v>43187</v>
      </c>
      <c r="M106" s="25" t="n">
        <v>2780.04</v>
      </c>
      <c r="N106" s="26">
        <f>M106-K106</f>
        <v/>
      </c>
      <c r="O106" s="7">
        <f>(M106/K106)-1</f>
        <v/>
      </c>
      <c r="P106" s="4" t="n"/>
    </row>
    <row hidden="1" r="107" s="64" spans="1:23">
      <c r="A107" s="1" t="n">
        <v>41984</v>
      </c>
      <c r="B107" s="27" t="n">
        <v>2381.96</v>
      </c>
      <c r="C107" s="1" t="n">
        <v>42349</v>
      </c>
      <c r="D107" s="25" t="n">
        <v>3259.56</v>
      </c>
      <c r="E107" s="25" t="n"/>
      <c r="F107" s="25" t="n"/>
      <c r="G107" s="28">
        <f>D107-B107</f>
        <v/>
      </c>
      <c r="H107" s="10">
        <f>(D107/B107)-1</f>
        <v/>
      </c>
      <c r="I107" s="7" t="n"/>
      <c r="J107" s="1" t="n">
        <v>42822</v>
      </c>
      <c r="K107" s="25" t="n">
        <v>2913.48</v>
      </c>
      <c r="L107" s="1" t="n">
        <v>43187</v>
      </c>
      <c r="M107" s="25" t="n">
        <v>2780.04</v>
      </c>
      <c r="N107" s="26">
        <f>M107-K107</f>
        <v/>
      </c>
      <c r="O107" s="7">
        <f>(M107/K107)-1</f>
        <v/>
      </c>
      <c r="P107" s="4" t="n"/>
    </row>
    <row hidden="1" r="108" s="64" spans="1:23">
      <c r="A108" s="1" t="n">
        <v>41985</v>
      </c>
      <c r="B108" s="27" t="n">
        <v>2423.56</v>
      </c>
      <c r="C108" s="1" t="n">
        <v>42350</v>
      </c>
      <c r="D108" s="25" t="n">
        <v>3299.36</v>
      </c>
      <c r="E108" s="25" t="n"/>
      <c r="F108" s="25" t="n"/>
      <c r="G108" s="28">
        <f>D108-B108</f>
        <v/>
      </c>
      <c r="H108" s="10">
        <f>(D108/B108)-1</f>
        <v/>
      </c>
      <c r="I108" s="7" t="n"/>
      <c r="J108" s="1" t="n">
        <v>42822</v>
      </c>
      <c r="K108" s="25" t="n">
        <v>2913.48</v>
      </c>
      <c r="L108" s="1" t="n">
        <v>43187</v>
      </c>
      <c r="M108" s="25" t="n">
        <v>2780.04</v>
      </c>
      <c r="N108" s="26">
        <f>M108-K108</f>
        <v/>
      </c>
      <c r="O108" s="7">
        <f>(M108/K108)-1</f>
        <v/>
      </c>
      <c r="P108" s="4" t="n"/>
    </row>
    <row hidden="1" r="109" s="64" spans="1:23">
      <c r="A109" s="1" t="n">
        <v>41986</v>
      </c>
      <c r="B109" s="27" t="n">
        <v>2405.31</v>
      </c>
      <c r="C109" s="1" t="n">
        <v>42351</v>
      </c>
      <c r="D109" s="25" t="n">
        <v>3299.36</v>
      </c>
      <c r="E109" s="25" t="n"/>
      <c r="F109" s="25" t="n"/>
      <c r="G109" s="28">
        <f>D109-B109</f>
        <v/>
      </c>
      <c r="H109" s="10">
        <f>(D109/B109)-1</f>
        <v/>
      </c>
      <c r="I109" s="7" t="n"/>
      <c r="J109" s="1" t="n">
        <v>42822</v>
      </c>
      <c r="K109" s="25" t="n">
        <v>2913.48</v>
      </c>
      <c r="L109" s="1" t="n">
        <v>43187</v>
      </c>
      <c r="M109" s="25" t="n">
        <v>2780.04</v>
      </c>
      <c r="N109" s="26">
        <f>M109-K109</f>
        <v/>
      </c>
      <c r="O109" s="7">
        <f>(M109/K109)-1</f>
        <v/>
      </c>
      <c r="P109" s="4" t="n"/>
    </row>
    <row hidden="1" r="110" s="64" spans="1:23">
      <c r="A110" s="1" t="n">
        <v>41987</v>
      </c>
      <c r="B110" s="27" t="n">
        <v>2405.31</v>
      </c>
      <c r="C110" s="1" t="n">
        <v>42352</v>
      </c>
      <c r="D110" s="25" t="n">
        <v>3299.36</v>
      </c>
      <c r="E110" s="25" t="n"/>
      <c r="F110" s="25" t="n"/>
      <c r="G110" s="28">
        <f>D110-B110</f>
        <v/>
      </c>
      <c r="H110" s="10">
        <f>(D110/B110)-1</f>
        <v/>
      </c>
      <c r="I110" s="7" t="n"/>
      <c r="J110" s="1" t="n">
        <v>42822</v>
      </c>
      <c r="K110" s="25" t="n">
        <v>2913.48</v>
      </c>
      <c r="L110" s="1" t="n">
        <v>43187</v>
      </c>
      <c r="M110" s="25" t="n">
        <v>2780.04</v>
      </c>
      <c r="N110" s="26">
        <f>M110-K110</f>
        <v/>
      </c>
      <c r="O110" s="7">
        <f>(M110/K110)-1</f>
        <v/>
      </c>
      <c r="P110" s="4" t="n"/>
    </row>
    <row hidden="1" r="111" s="64" spans="1:23">
      <c r="A111" s="1" t="n">
        <v>41988</v>
      </c>
      <c r="B111" s="27" t="n">
        <v>2405.31</v>
      </c>
      <c r="C111" s="1" t="n">
        <v>42353</v>
      </c>
      <c r="D111" s="25" t="n">
        <v>3356</v>
      </c>
      <c r="E111" s="25" t="n"/>
      <c r="F111" s="25" t="n"/>
      <c r="G111" s="28">
        <f>D111-B111</f>
        <v/>
      </c>
      <c r="H111" s="10">
        <f>(D111/B111)-1</f>
        <v/>
      </c>
      <c r="I111" s="7" t="n"/>
      <c r="J111" s="1" t="n">
        <v>42822</v>
      </c>
      <c r="K111" s="25" t="n">
        <v>2913.48</v>
      </c>
      <c r="L111" s="1" t="n">
        <v>43187</v>
      </c>
      <c r="M111" s="25" t="n">
        <v>2780.04</v>
      </c>
      <c r="N111" s="26">
        <f>M111-K111</f>
        <v/>
      </c>
      <c r="O111" s="7">
        <f>(M111/K111)-1</f>
        <v/>
      </c>
      <c r="P111" s="4" t="n"/>
    </row>
    <row hidden="1" r="112" s="64" spans="1:23">
      <c r="A112" s="1" t="n">
        <v>41989</v>
      </c>
      <c r="B112" s="27" t="n">
        <v>2414.39</v>
      </c>
      <c r="C112" s="1" t="n">
        <v>42354</v>
      </c>
      <c r="D112" s="25" t="n">
        <v>3328.08</v>
      </c>
      <c r="E112" s="25" t="n"/>
      <c r="F112" s="25" t="n"/>
      <c r="G112" s="28">
        <f>D112-B112</f>
        <v/>
      </c>
      <c r="H112" s="10">
        <f>(D112/B112)-1</f>
        <v/>
      </c>
      <c r="I112" s="7" t="n"/>
      <c r="J112" s="1" t="n">
        <v>42822</v>
      </c>
      <c r="K112" s="25" t="n">
        <v>2913.48</v>
      </c>
      <c r="L112" s="1" t="n">
        <v>43187</v>
      </c>
      <c r="M112" s="25" t="n">
        <v>2780.04</v>
      </c>
      <c r="N112" s="26">
        <f>M112-K112</f>
        <v/>
      </c>
      <c r="O112" s="7">
        <f>(M112/K112)-1</f>
        <v/>
      </c>
      <c r="P112" s="4" t="n"/>
    </row>
    <row hidden="1" r="113" s="64" spans="1:23">
      <c r="A113" s="1" t="n">
        <v>41990</v>
      </c>
      <c r="B113" s="27" t="n">
        <v>2446.35</v>
      </c>
      <c r="C113" s="1" t="n">
        <v>42355</v>
      </c>
      <c r="D113" s="25" t="n">
        <v>3317.72</v>
      </c>
      <c r="E113" s="25" t="n"/>
      <c r="F113" s="25" t="n"/>
      <c r="G113" s="28">
        <f>D113-B113</f>
        <v/>
      </c>
      <c r="H113" s="10">
        <f>(D113/B113)-1</f>
        <v/>
      </c>
      <c r="I113" s="7" t="n"/>
      <c r="J113" s="1" t="n">
        <v>42822</v>
      </c>
      <c r="K113" s="25" t="n">
        <v>2913.48</v>
      </c>
      <c r="L113" s="1" t="n">
        <v>43187</v>
      </c>
      <c r="M113" s="25" t="n">
        <v>2780.04</v>
      </c>
      <c r="N113" s="26">
        <f>M113-K113</f>
        <v/>
      </c>
      <c r="O113" s="7">
        <f>(M113/K113)-1</f>
        <v/>
      </c>
      <c r="P113" s="4" t="n"/>
    </row>
    <row hidden="1" r="114" s="64" spans="1:23">
      <c r="A114" s="1" t="n">
        <v>41991</v>
      </c>
      <c r="B114" s="27" t="n">
        <v>2412.79</v>
      </c>
      <c r="C114" s="1" t="n">
        <v>42356</v>
      </c>
      <c r="D114" s="25" t="n">
        <v>3333.37</v>
      </c>
      <c r="E114" s="25" t="n"/>
      <c r="F114" s="25" t="n"/>
      <c r="G114" s="28">
        <f>D114-B114</f>
        <v/>
      </c>
      <c r="H114" s="10">
        <f>(D114/B114)-1</f>
        <v/>
      </c>
      <c r="I114" s="7" t="n"/>
      <c r="J114" s="1" t="n">
        <v>42822</v>
      </c>
      <c r="K114" s="25" t="n">
        <v>2913.48</v>
      </c>
      <c r="L114" s="1" t="n">
        <v>43187</v>
      </c>
      <c r="M114" s="25" t="n">
        <v>2780.04</v>
      </c>
      <c r="N114" s="26">
        <f>M114-K114</f>
        <v/>
      </c>
      <c r="O114" s="7">
        <f>(M114/K114)-1</f>
        <v/>
      </c>
      <c r="P114" s="4" t="n"/>
    </row>
    <row hidden="1" r="115" s="64" spans="1:23">
      <c r="A115" s="1" t="n">
        <v>41992</v>
      </c>
      <c r="B115" s="27" t="n">
        <v>2334.98</v>
      </c>
      <c r="C115" s="1" t="n">
        <v>42357</v>
      </c>
      <c r="D115" s="25" t="n">
        <v>3337.68</v>
      </c>
      <c r="E115" s="25" t="n"/>
      <c r="F115" s="25" t="n"/>
      <c r="G115" s="28">
        <f>D115-B115</f>
        <v/>
      </c>
      <c r="H115" s="10">
        <f>(D115/B115)-1</f>
        <v/>
      </c>
      <c r="I115" s="7" t="n"/>
      <c r="J115" s="1" t="n">
        <v>42822</v>
      </c>
      <c r="K115" s="25" t="n">
        <v>2913.48</v>
      </c>
      <c r="L115" s="1" t="n">
        <v>43187</v>
      </c>
      <c r="M115" s="25" t="n">
        <v>2780.04</v>
      </c>
      <c r="N115" s="26">
        <f>M115-K115</f>
        <v/>
      </c>
      <c r="O115" s="7">
        <f>(M115/K115)-1</f>
        <v/>
      </c>
      <c r="P115" s="4" t="n"/>
    </row>
    <row hidden="1" r="116" s="64" spans="1:23">
      <c r="A116" s="1" t="n">
        <v>41993</v>
      </c>
      <c r="B116" s="27" t="n">
        <v>2297.14</v>
      </c>
      <c r="C116" s="1" t="n">
        <v>42358</v>
      </c>
      <c r="D116" s="25" t="n">
        <v>3337.68</v>
      </c>
      <c r="E116" s="25" t="n"/>
      <c r="F116" s="25" t="n"/>
      <c r="G116" s="28">
        <f>D116-B116</f>
        <v/>
      </c>
      <c r="H116" s="10">
        <f>(D116/B116)-1</f>
        <v/>
      </c>
      <c r="I116" s="7" t="n"/>
      <c r="J116" s="1" t="n">
        <v>42822</v>
      </c>
      <c r="K116" s="25" t="n">
        <v>2913.48</v>
      </c>
      <c r="L116" s="1" t="n">
        <v>43187</v>
      </c>
      <c r="M116" s="25" t="n">
        <v>2780.04</v>
      </c>
      <c r="N116" s="26">
        <f>M116-K116</f>
        <v/>
      </c>
      <c r="O116" s="7">
        <f>(M116/K116)-1</f>
        <v/>
      </c>
      <c r="P116" s="4" t="n"/>
    </row>
    <row hidden="1" r="117" s="64" spans="1:23">
      <c r="A117" s="1" t="n">
        <v>41994</v>
      </c>
      <c r="B117" s="27" t="n">
        <v>2297.14</v>
      </c>
      <c r="C117" s="1" t="n">
        <v>42359</v>
      </c>
      <c r="D117" s="25" t="n">
        <v>3337.68</v>
      </c>
      <c r="E117" s="25" t="n"/>
      <c r="F117" s="25" t="n"/>
      <c r="G117" s="28">
        <f>D117-B117</f>
        <v/>
      </c>
      <c r="H117" s="10">
        <f>(D117/B117)-1</f>
        <v/>
      </c>
      <c r="I117" s="7" t="n"/>
      <c r="J117" s="1" t="n">
        <v>42822</v>
      </c>
      <c r="K117" s="25" t="n">
        <v>2913.48</v>
      </c>
      <c r="L117" s="1" t="n">
        <v>43187</v>
      </c>
      <c r="M117" s="25" t="n">
        <v>2780.04</v>
      </c>
      <c r="N117" s="26">
        <f>M117-K117</f>
        <v/>
      </c>
      <c r="O117" s="7">
        <f>(M117/K117)-1</f>
        <v/>
      </c>
      <c r="P117" s="4" t="n"/>
    </row>
    <row hidden="1" r="118" s="64" spans="1:23">
      <c r="A118" s="1" t="n">
        <v>41995</v>
      </c>
      <c r="B118" s="27" t="n">
        <v>2297.14</v>
      </c>
      <c r="C118" s="1" t="n">
        <v>42360</v>
      </c>
      <c r="D118" s="25" t="n">
        <v>3332.7</v>
      </c>
      <c r="E118" s="25" t="n"/>
      <c r="F118" s="25" t="n"/>
      <c r="G118" s="28">
        <f>D118-B118</f>
        <v/>
      </c>
      <c r="H118" s="10">
        <f>(D118/B118)-1</f>
        <v/>
      </c>
      <c r="I118" s="7" t="n"/>
      <c r="J118" s="1" t="n">
        <v>42822</v>
      </c>
      <c r="K118" s="25" t="n">
        <v>2913.48</v>
      </c>
      <c r="L118" s="1" t="n">
        <v>43187</v>
      </c>
      <c r="M118" s="25" t="n">
        <v>2780.04</v>
      </c>
      <c r="N118" s="26">
        <f>M118-K118</f>
        <v/>
      </c>
      <c r="O118" s="7">
        <f>(M118/K118)-1</f>
        <v/>
      </c>
      <c r="P118" s="4" t="n"/>
    </row>
    <row hidden="1" r="119" s="64" spans="1:23">
      <c r="A119" s="1" t="n">
        <v>41996</v>
      </c>
      <c r="B119" s="27" t="n">
        <v>2316.93</v>
      </c>
      <c r="C119" s="1" t="n">
        <v>42361</v>
      </c>
      <c r="D119" s="25" t="n">
        <v>3307.24</v>
      </c>
      <c r="E119" s="25" t="n"/>
      <c r="F119" s="25" t="n"/>
      <c r="G119" s="28">
        <f>D119-B119</f>
        <v/>
      </c>
      <c r="H119" s="10">
        <f>(D119/B119)-1</f>
        <v/>
      </c>
      <c r="I119" s="7" t="n"/>
      <c r="J119" s="1" t="n">
        <v>42822</v>
      </c>
      <c r="K119" s="25" t="n">
        <v>2913.48</v>
      </c>
      <c r="L119" s="1" t="n">
        <v>43187</v>
      </c>
      <c r="M119" s="25" t="n">
        <v>2780.04</v>
      </c>
      <c r="N119" s="26">
        <f>M119-K119</f>
        <v/>
      </c>
      <c r="O119" s="7">
        <f>(M119/K119)-1</f>
        <v/>
      </c>
      <c r="P119" s="4" t="n"/>
    </row>
    <row hidden="1" r="120" s="64" spans="1:23">
      <c r="A120" s="1" t="n">
        <v>41997</v>
      </c>
      <c r="B120" s="27" t="n">
        <v>2342.57</v>
      </c>
      <c r="C120" s="1" t="n">
        <v>42362</v>
      </c>
      <c r="D120" s="29" t="n">
        <v>3255.19</v>
      </c>
      <c r="E120" s="29" t="n"/>
      <c r="F120" s="29" t="n"/>
      <c r="G120" s="28">
        <f>D120-B120</f>
        <v/>
      </c>
      <c r="H120" s="10">
        <f>(D120/B120)-1</f>
        <v/>
      </c>
      <c r="I120" s="7" t="n"/>
      <c r="J120" s="1" t="n">
        <v>42822</v>
      </c>
      <c r="K120" s="25" t="n">
        <v>2913.48</v>
      </c>
      <c r="L120" s="1" t="n">
        <v>43187</v>
      </c>
      <c r="M120" s="25" t="n">
        <v>2780.04</v>
      </c>
      <c r="N120" s="26">
        <f>M120-K120</f>
        <v/>
      </c>
      <c r="O120" s="7">
        <f>(M120/K120)-1</f>
        <v/>
      </c>
      <c r="P120" s="4" t="n"/>
    </row>
    <row hidden="1" r="121" s="64" spans="1:23">
      <c r="A121" s="1" t="n">
        <v>41998</v>
      </c>
      <c r="B121" s="27" t="n">
        <v>2346.9</v>
      </c>
      <c r="C121" s="1" t="n">
        <v>42363</v>
      </c>
      <c r="D121" s="29" t="n">
        <v>3172.03</v>
      </c>
      <c r="E121" s="29" t="n"/>
      <c r="F121" s="29" t="n"/>
      <c r="G121" s="28">
        <f>D121-B121</f>
        <v/>
      </c>
      <c r="H121" s="10">
        <f>(D121/B121)-1</f>
        <v/>
      </c>
      <c r="I121" s="7" t="n"/>
      <c r="J121" s="1" t="n">
        <v>42822</v>
      </c>
      <c r="K121" s="25" t="n">
        <v>2913.48</v>
      </c>
      <c r="L121" s="1" t="n">
        <v>43187</v>
      </c>
      <c r="M121" s="25" t="n">
        <v>2780.04</v>
      </c>
      <c r="N121" s="26">
        <f>M121-K121</f>
        <v/>
      </c>
      <c r="O121" s="7">
        <f>(M121/K121)-1</f>
        <v/>
      </c>
      <c r="P121" s="4" t="n"/>
    </row>
    <row hidden="1" r="122" s="64" spans="1:23">
      <c r="A122" s="1" t="n">
        <v>41999</v>
      </c>
      <c r="B122" s="27" t="n">
        <v>2346.9</v>
      </c>
      <c r="C122" s="1" t="n">
        <v>42364</v>
      </c>
      <c r="D122" s="29" t="n">
        <v>3172.03</v>
      </c>
      <c r="E122" s="29" t="n"/>
      <c r="F122" s="29" t="n"/>
      <c r="G122" s="28">
        <f>D122-B122</f>
        <v/>
      </c>
      <c r="H122" s="10">
        <f>(D122/B122)-1</f>
        <v/>
      </c>
      <c r="I122" s="7" t="n"/>
      <c r="J122" s="1" t="n">
        <v>42822</v>
      </c>
      <c r="K122" s="25" t="n">
        <v>2913.48</v>
      </c>
      <c r="L122" s="1" t="n">
        <v>43187</v>
      </c>
      <c r="M122" s="25" t="n">
        <v>2780.04</v>
      </c>
      <c r="N122" s="26">
        <f>M122-K122</f>
        <v/>
      </c>
      <c r="O122" s="7">
        <f>(M122/K122)-1</f>
        <v/>
      </c>
      <c r="P122" s="4" t="n"/>
    </row>
    <row hidden="1" r="123" s="64" spans="1:23">
      <c r="A123" s="1" t="n">
        <v>42000</v>
      </c>
      <c r="B123" s="27" t="n">
        <v>2358.46</v>
      </c>
      <c r="C123" s="1" t="n">
        <v>42365</v>
      </c>
      <c r="D123" s="29" t="n">
        <v>3172.03</v>
      </c>
      <c r="E123" s="29" t="n"/>
      <c r="F123" s="29" t="n"/>
      <c r="G123" s="28">
        <f>D123-B123</f>
        <v/>
      </c>
      <c r="H123" s="10">
        <f>(D123/B123)-1</f>
        <v/>
      </c>
      <c r="I123" s="7" t="n"/>
      <c r="J123" s="1" t="n">
        <v>42822</v>
      </c>
      <c r="K123" s="25" t="n">
        <v>2913.48</v>
      </c>
      <c r="L123" s="1" t="n">
        <v>43187</v>
      </c>
      <c r="M123" s="25" t="n">
        <v>2780.04</v>
      </c>
      <c r="N123" s="26">
        <f>M123-K123</f>
        <v/>
      </c>
      <c r="O123" s="7">
        <f>(M123/K123)-1</f>
        <v/>
      </c>
      <c r="P123" s="4" t="n"/>
    </row>
    <row hidden="1" r="124" s="64" spans="1:23">
      <c r="A124" s="1" t="n">
        <v>42001</v>
      </c>
      <c r="B124" s="27" t="n">
        <v>2358.46</v>
      </c>
      <c r="C124" s="1" t="n">
        <v>42366</v>
      </c>
      <c r="D124" s="29" t="n">
        <v>3172.03</v>
      </c>
      <c r="E124" s="29" t="n"/>
      <c r="F124" s="29" t="n"/>
      <c r="G124" s="28">
        <f>D124-B124</f>
        <v/>
      </c>
      <c r="H124" s="10">
        <f>(D124/B124)-1</f>
        <v/>
      </c>
      <c r="I124" s="7" t="n"/>
      <c r="J124" s="1" t="n">
        <v>42822</v>
      </c>
      <c r="K124" s="25" t="n">
        <v>2913.48</v>
      </c>
      <c r="L124" s="1" t="n">
        <v>43187</v>
      </c>
      <c r="M124" s="25" t="n">
        <v>2780.04</v>
      </c>
      <c r="N124" s="26">
        <f>M124-K124</f>
        <v/>
      </c>
      <c r="O124" s="7">
        <f>(M124/K124)-1</f>
        <v/>
      </c>
      <c r="P124" s="4" t="n"/>
    </row>
    <row hidden="1" r="125" s="64" spans="1:23">
      <c r="A125" s="1" t="n">
        <v>42002</v>
      </c>
      <c r="B125" s="27" t="n">
        <v>2358.46</v>
      </c>
      <c r="C125" s="1" t="n">
        <v>42367</v>
      </c>
      <c r="D125" s="25" t="n">
        <v>3180.87</v>
      </c>
      <c r="E125" s="25" t="n"/>
      <c r="F125" s="25" t="n"/>
      <c r="G125" s="28">
        <f>D125-B125</f>
        <v/>
      </c>
      <c r="H125" s="10">
        <f>(D125/B125)-1</f>
        <v/>
      </c>
      <c r="I125" s="7" t="n"/>
      <c r="J125" s="1" t="n">
        <v>42822</v>
      </c>
      <c r="K125" s="25" t="n">
        <v>2913.48</v>
      </c>
      <c r="L125" s="1" t="n">
        <v>43187</v>
      </c>
      <c r="M125" s="25" t="n">
        <v>2780.04</v>
      </c>
      <c r="N125" s="26">
        <f>M125-K125</f>
        <v/>
      </c>
      <c r="O125" s="7">
        <f>(M125/K125)-1</f>
        <v/>
      </c>
      <c r="P125" s="4" t="n"/>
    </row>
    <row hidden="1" r="126" s="64" spans="1:23">
      <c r="A126" s="1" t="n">
        <v>42003</v>
      </c>
      <c r="B126" s="27" t="n">
        <v>2378.56</v>
      </c>
      <c r="C126" s="1" t="n">
        <v>42368</v>
      </c>
      <c r="D126" s="25" t="n">
        <v>3155.22</v>
      </c>
      <c r="E126" s="25" t="n"/>
      <c r="F126" s="25" t="n"/>
      <c r="G126" s="28">
        <f>D126-B126</f>
        <v/>
      </c>
      <c r="H126" s="10">
        <f>(D126/B126)-1</f>
        <v/>
      </c>
      <c r="I126" s="7" t="n"/>
      <c r="J126" s="1" t="n">
        <v>42822</v>
      </c>
      <c r="K126" s="25" t="n">
        <v>2913.48</v>
      </c>
      <c r="L126" s="1" t="n">
        <v>43187</v>
      </c>
      <c r="M126" s="25" t="n">
        <v>2780.04</v>
      </c>
      <c r="N126" s="26">
        <f>M126-K126</f>
        <v/>
      </c>
      <c r="O126" s="7">
        <f>(M126/K126)-1</f>
        <v/>
      </c>
      <c r="P126" s="4" t="n"/>
    </row>
    <row hidden="1" r="127" s="64" spans="1:23">
      <c r="A127" s="1" t="n">
        <v>42004</v>
      </c>
      <c r="B127" s="27" t="n">
        <v>2392.46</v>
      </c>
      <c r="C127" s="1" t="n">
        <v>42369</v>
      </c>
      <c r="D127" s="25" t="n">
        <v>3149.47</v>
      </c>
      <c r="E127" s="25" t="n"/>
      <c r="F127" s="25" t="n"/>
      <c r="G127" s="28">
        <f>D127-B127</f>
        <v/>
      </c>
      <c r="H127" s="10">
        <f>(D127/B127)-1</f>
        <v/>
      </c>
      <c r="I127" s="7" t="n"/>
      <c r="J127" s="1" t="n">
        <v>42822</v>
      </c>
      <c r="K127" s="25" t="n">
        <v>2913.48</v>
      </c>
      <c r="L127" s="1" t="n">
        <v>43187</v>
      </c>
      <c r="M127" s="25" t="n">
        <v>2780.04</v>
      </c>
      <c r="N127" s="26">
        <f>M127-K127</f>
        <v/>
      </c>
      <c r="O127" s="7">
        <f>(M127/K127)-1</f>
        <v/>
      </c>
      <c r="P127" s="4" t="n"/>
    </row>
    <row hidden="1" r="128" s="64" spans="1:23">
      <c r="A128" s="1" t="n">
        <v>42005</v>
      </c>
      <c r="B128" s="27" t="n">
        <v>2392.46</v>
      </c>
      <c r="C128" s="1" t="n">
        <v>42370</v>
      </c>
      <c r="D128" s="25" t="n">
        <v>3149.47</v>
      </c>
      <c r="E128" s="25" t="n"/>
      <c r="F128" s="25" t="n"/>
      <c r="G128" s="28">
        <f>D128-B128</f>
        <v/>
      </c>
      <c r="H128" s="11">
        <f>(D128/B128)-1</f>
        <v/>
      </c>
      <c r="I128" s="8" t="n"/>
      <c r="J128" s="1" t="n">
        <v>42822</v>
      </c>
      <c r="K128" s="25" t="n">
        <v>2913.48</v>
      </c>
      <c r="L128" s="1" t="n">
        <v>43187</v>
      </c>
      <c r="M128" s="25" t="n">
        <v>2780.04</v>
      </c>
      <c r="N128" s="26">
        <f>M128-K128</f>
        <v/>
      </c>
      <c r="O128" s="7">
        <f>(M128/K128)-1</f>
        <v/>
      </c>
      <c r="P128" s="4" t="n"/>
    </row>
    <row hidden="1" r="129" s="64" spans="1:23">
      <c r="A129" s="1" t="n">
        <v>42006</v>
      </c>
      <c r="B129" s="27" t="n">
        <v>2392.46</v>
      </c>
      <c r="C129" s="1" t="n">
        <v>42371</v>
      </c>
      <c r="D129" s="25" t="n">
        <v>3149.47</v>
      </c>
      <c r="E129" s="25" t="n"/>
      <c r="F129" s="25" t="n"/>
      <c r="G129" s="28">
        <f>D129-B129</f>
        <v/>
      </c>
      <c r="H129" s="10">
        <f>(D129/B129)-1</f>
        <v/>
      </c>
      <c r="I129" s="7" t="n"/>
      <c r="J129" s="1" t="n">
        <v>42822</v>
      </c>
      <c r="K129" s="25" t="n">
        <v>2913.48</v>
      </c>
      <c r="L129" s="1" t="n">
        <v>43187</v>
      </c>
      <c r="M129" s="25" t="n">
        <v>2780.04</v>
      </c>
      <c r="N129" s="26">
        <f>M129-K129</f>
        <v/>
      </c>
      <c r="O129" s="7">
        <f>(M129/K129)-1</f>
        <v/>
      </c>
      <c r="P129" s="4" t="n"/>
    </row>
    <row hidden="1" r="130" s="64" spans="1:23">
      <c r="A130" s="1" t="n">
        <v>42007</v>
      </c>
      <c r="B130" s="27" t="n">
        <v>2383.37</v>
      </c>
      <c r="C130" s="1" t="n">
        <v>42372</v>
      </c>
      <c r="D130" s="25" t="n">
        <v>3149.47</v>
      </c>
      <c r="E130" s="25" t="n"/>
      <c r="F130" s="25" t="n"/>
      <c r="G130" s="28">
        <f>D130-B130</f>
        <v/>
      </c>
      <c r="H130" s="10">
        <f>(D130/B130)-1</f>
        <v/>
      </c>
      <c r="I130" s="7" t="n"/>
      <c r="J130" s="1" t="n">
        <v>42822</v>
      </c>
      <c r="K130" s="25" t="n">
        <v>2913.48</v>
      </c>
      <c r="L130" s="1" t="n">
        <v>43187</v>
      </c>
      <c r="M130" s="25" t="n">
        <v>2780.04</v>
      </c>
      <c r="N130" s="26">
        <f>M130-K130</f>
        <v/>
      </c>
      <c r="O130" s="7">
        <f>(M130/K130)-1</f>
        <v/>
      </c>
      <c r="P130" s="4" t="n"/>
    </row>
    <row hidden="1" r="131" s="64" spans="1:23">
      <c r="A131" s="1" t="n">
        <v>42008</v>
      </c>
      <c r="B131" s="27" t="n">
        <v>2383.37</v>
      </c>
      <c r="C131" s="1" t="n">
        <v>42373</v>
      </c>
      <c r="D131" s="25" t="n">
        <v>3149.47</v>
      </c>
      <c r="E131" s="25" t="n"/>
      <c r="F131" s="25" t="n"/>
      <c r="G131" s="28">
        <f>D131-B131</f>
        <v/>
      </c>
      <c r="H131" s="10">
        <f>(D131/B131)-1</f>
        <v/>
      </c>
      <c r="I131" s="7" t="n"/>
      <c r="J131" s="1" t="n">
        <v>42822</v>
      </c>
      <c r="K131" s="25" t="n">
        <v>2913.48</v>
      </c>
      <c r="L131" s="1" t="n">
        <v>43187</v>
      </c>
      <c r="M131" s="25" t="n">
        <v>2780.04</v>
      </c>
      <c r="N131" s="26">
        <f>M131-K131</f>
        <v/>
      </c>
      <c r="O131" s="7">
        <f>(M131/K131)-1</f>
        <v/>
      </c>
      <c r="P131" s="4" t="n"/>
    </row>
    <row hidden="1" r="132" s="64" spans="1:23">
      <c r="A132" s="1" t="n">
        <v>42009</v>
      </c>
      <c r="B132" s="27" t="n">
        <v>2383.37</v>
      </c>
      <c r="C132" s="1" t="n">
        <v>42374</v>
      </c>
      <c r="D132" s="25" t="n">
        <v>3213.24</v>
      </c>
      <c r="E132" s="25" t="n"/>
      <c r="F132" s="25" t="n"/>
      <c r="G132" s="28">
        <f>D132-B132</f>
        <v/>
      </c>
      <c r="H132" s="10">
        <f>(D132/B132)-1</f>
        <v/>
      </c>
      <c r="I132" s="7" t="n"/>
      <c r="J132" s="1" t="n">
        <v>42822</v>
      </c>
      <c r="K132" s="25" t="n">
        <v>2913.48</v>
      </c>
      <c r="L132" s="1" t="n">
        <v>43187</v>
      </c>
      <c r="M132" s="25" t="n">
        <v>2780.04</v>
      </c>
      <c r="N132" s="26">
        <f>M132-K132</f>
        <v/>
      </c>
      <c r="O132" s="7">
        <f>(M132/K132)-1</f>
        <v/>
      </c>
      <c r="P132" s="4" t="n"/>
    </row>
    <row hidden="1" r="133" s="64" spans="1:23">
      <c r="A133" s="1" t="n">
        <v>42010</v>
      </c>
      <c r="B133" s="27" t="n">
        <v>2412.82</v>
      </c>
      <c r="C133" s="1" t="n">
        <v>42375</v>
      </c>
      <c r="D133" s="25" t="n">
        <v>3203.86</v>
      </c>
      <c r="E133" s="25" t="n"/>
      <c r="F133" s="25" t="n"/>
      <c r="G133" s="28">
        <f>D133-B133</f>
        <v/>
      </c>
      <c r="H133" s="10">
        <f>(D133/B133)-1</f>
        <v/>
      </c>
      <c r="I133" s="7" t="n"/>
      <c r="J133" s="1" t="n">
        <v>42822</v>
      </c>
      <c r="K133" s="25" t="n">
        <v>2913.48</v>
      </c>
      <c r="L133" s="1" t="n">
        <v>43187</v>
      </c>
      <c r="M133" s="25" t="n">
        <v>2780.04</v>
      </c>
      <c r="N133" s="26">
        <f>M133-K133</f>
        <v/>
      </c>
      <c r="O133" s="7">
        <f>(M133/K133)-1</f>
        <v/>
      </c>
      <c r="P133" s="4" t="n"/>
    </row>
    <row hidden="1" r="134" s="64" spans="1:23">
      <c r="A134" s="1" t="n">
        <v>42011</v>
      </c>
      <c r="B134" s="27" t="n">
        <v>2452.11</v>
      </c>
      <c r="C134" s="1" t="n">
        <v>42376</v>
      </c>
      <c r="D134" s="25" t="n">
        <v>3250.69</v>
      </c>
      <c r="E134" s="25" t="n"/>
      <c r="F134" s="25" t="n"/>
      <c r="G134" s="28">
        <f>D134-B134</f>
        <v/>
      </c>
      <c r="H134" s="10">
        <f>(D134/B134)-1</f>
        <v/>
      </c>
      <c r="I134" s="7" t="n"/>
      <c r="J134" s="1" t="n">
        <v>42822</v>
      </c>
      <c r="K134" s="25" t="n">
        <v>2913.48</v>
      </c>
      <c r="L134" s="1" t="n">
        <v>43187</v>
      </c>
      <c r="M134" s="25" t="n">
        <v>2780.04</v>
      </c>
      <c r="N134" s="26">
        <f>M134-K134</f>
        <v/>
      </c>
      <c r="O134" s="7">
        <f>(M134/K134)-1</f>
        <v/>
      </c>
      <c r="P134" s="4" t="n"/>
    </row>
    <row hidden="1" r="135" s="64" spans="1:23">
      <c r="A135" s="1" t="n">
        <v>42012</v>
      </c>
      <c r="B135" s="27" t="n">
        <v>2434.31</v>
      </c>
      <c r="C135" s="1" t="n">
        <v>42377</v>
      </c>
      <c r="D135" s="25" t="n">
        <v>3287.28</v>
      </c>
      <c r="E135" s="25" t="n"/>
      <c r="F135" s="25" t="n"/>
      <c r="G135" s="28">
        <f>D135-B135</f>
        <v/>
      </c>
      <c r="H135" s="10">
        <f>(D135/B135)-1</f>
        <v/>
      </c>
      <c r="I135" s="7" t="n"/>
      <c r="J135" s="1" t="n">
        <v>42822</v>
      </c>
      <c r="K135" s="25" t="n">
        <v>2913.48</v>
      </c>
      <c r="L135" s="1" t="n">
        <v>43187</v>
      </c>
      <c r="M135" s="25" t="n">
        <v>2780.04</v>
      </c>
      <c r="N135" s="26">
        <f>M135-K135</f>
        <v/>
      </c>
      <c r="O135" s="7">
        <f>(M135/K135)-1</f>
        <v/>
      </c>
      <c r="P135" s="4" t="n"/>
    </row>
    <row hidden="1" r="136" s="64" spans="1:23">
      <c r="A136" s="1" t="n">
        <v>42013</v>
      </c>
      <c r="B136" s="27" t="n">
        <v>2405.03</v>
      </c>
      <c r="C136" s="1" t="n">
        <v>42378</v>
      </c>
      <c r="D136" s="25" t="n">
        <v>3268.37</v>
      </c>
      <c r="E136" s="25" t="n"/>
      <c r="F136" s="25" t="n"/>
      <c r="G136" s="28">
        <f>D136-B136</f>
        <v/>
      </c>
      <c r="H136" s="10">
        <f>(D136/B136)-1</f>
        <v/>
      </c>
      <c r="I136" s="7" t="n"/>
      <c r="J136" s="1" t="n">
        <v>42822</v>
      </c>
      <c r="K136" s="25" t="n">
        <v>2913.48</v>
      </c>
      <c r="L136" s="1" t="n">
        <v>43187</v>
      </c>
      <c r="M136" s="25" t="n">
        <v>2780.04</v>
      </c>
      <c r="N136" s="26">
        <f>M136-K136</f>
        <v/>
      </c>
      <c r="O136" s="7">
        <f>(M136/K136)-1</f>
        <v/>
      </c>
      <c r="P136" s="4" t="n"/>
    </row>
    <row hidden="1" r="137" s="64" spans="1:23">
      <c r="A137" s="1" t="n">
        <v>42014</v>
      </c>
      <c r="B137" s="27" t="n">
        <v>2406.71</v>
      </c>
      <c r="C137" s="1" t="n">
        <v>42379</v>
      </c>
      <c r="D137" s="25" t="n">
        <v>3268.37</v>
      </c>
      <c r="E137" s="25" t="n"/>
      <c r="F137" s="25" t="n"/>
      <c r="G137" s="28">
        <f>D137-B137</f>
        <v/>
      </c>
      <c r="H137" s="10">
        <f>(D137/B137)-1</f>
        <v/>
      </c>
      <c r="I137" s="7" t="n"/>
      <c r="J137" s="1" t="n">
        <v>42822</v>
      </c>
      <c r="K137" s="25" t="n">
        <v>2913.48</v>
      </c>
      <c r="L137" s="1" t="n">
        <v>43187</v>
      </c>
      <c r="M137" s="25" t="n">
        <v>2780.04</v>
      </c>
      <c r="N137" s="26">
        <f>M137-K137</f>
        <v/>
      </c>
      <c r="O137" s="7">
        <f>(M137/K137)-1</f>
        <v/>
      </c>
      <c r="P137" s="4" t="n"/>
    </row>
    <row hidden="1" r="138" s="64" spans="1:23">
      <c r="A138" s="1" t="n">
        <v>42015</v>
      </c>
      <c r="B138" s="27" t="n">
        <v>2406.71</v>
      </c>
      <c r="C138" s="1" t="n">
        <v>42380</v>
      </c>
      <c r="D138" s="25" t="n">
        <v>3268.37</v>
      </c>
      <c r="E138" s="25" t="n"/>
      <c r="F138" s="25" t="n"/>
      <c r="G138" s="28">
        <f>D138-B138</f>
        <v/>
      </c>
      <c r="H138" s="10">
        <f>(D138/B138)-1</f>
        <v/>
      </c>
      <c r="I138" s="7" t="n"/>
      <c r="J138" s="1" t="n">
        <v>42822</v>
      </c>
      <c r="K138" s="25" t="n">
        <v>2913.48</v>
      </c>
      <c r="L138" s="1" t="n">
        <v>43187</v>
      </c>
      <c r="M138" s="25" t="n">
        <v>2780.04</v>
      </c>
      <c r="N138" s="26">
        <f>M138-K138</f>
        <v/>
      </c>
      <c r="O138" s="7">
        <f>(M138/K138)-1</f>
        <v/>
      </c>
      <c r="P138" s="4" t="n"/>
    </row>
    <row hidden="1" r="139" s="64" spans="1:23">
      <c r="A139" s="1" t="n">
        <v>42016</v>
      </c>
      <c r="B139" s="27" t="n">
        <v>2406.71</v>
      </c>
      <c r="C139" s="1" t="n">
        <v>42381</v>
      </c>
      <c r="D139" s="25" t="n">
        <v>3268.37</v>
      </c>
      <c r="E139" s="25" t="n"/>
      <c r="F139" s="25" t="n"/>
      <c r="G139" s="28">
        <f>D139-B139</f>
        <v/>
      </c>
      <c r="H139" s="10">
        <f>(D139/B139)-1</f>
        <v/>
      </c>
      <c r="I139" s="7" t="n"/>
      <c r="J139" s="1" t="n">
        <v>42822</v>
      </c>
      <c r="K139" s="25" t="n">
        <v>2913.48</v>
      </c>
      <c r="L139" s="1" t="n">
        <v>43187</v>
      </c>
      <c r="M139" s="25" t="n">
        <v>2780.04</v>
      </c>
      <c r="N139" s="26">
        <f>M139-K139</f>
        <v/>
      </c>
      <c r="O139" s="7">
        <f>(M139/K139)-1</f>
        <v/>
      </c>
      <c r="P139" s="4" t="n"/>
    </row>
    <row hidden="1" r="140" s="64" spans="1:23">
      <c r="A140" s="1" t="n">
        <v>42017</v>
      </c>
      <c r="B140" s="27" t="n">
        <v>2406.71</v>
      </c>
      <c r="C140" s="1" t="n">
        <v>42382</v>
      </c>
      <c r="D140" s="25" t="n">
        <v>3246.51</v>
      </c>
      <c r="E140" s="25" t="n"/>
      <c r="F140" s="25" t="n"/>
      <c r="G140" s="28">
        <f>D140-B140</f>
        <v/>
      </c>
      <c r="H140" s="10">
        <f>(D140/B140)-1</f>
        <v/>
      </c>
      <c r="I140" s="7" t="n"/>
      <c r="J140" s="1" t="n">
        <v>42822</v>
      </c>
      <c r="K140" s="25" t="n">
        <v>2913.48</v>
      </c>
      <c r="L140" s="1" t="n">
        <v>43187</v>
      </c>
      <c r="M140" s="25" t="n">
        <v>2780.04</v>
      </c>
      <c r="N140" s="26">
        <f>M140-K140</f>
        <v/>
      </c>
      <c r="O140" s="7">
        <f>(M140/K140)-1</f>
        <v/>
      </c>
      <c r="P140" s="4" t="n"/>
    </row>
    <row hidden="1" r="141" s="64" spans="1:23">
      <c r="A141" s="1" t="n">
        <v>42018</v>
      </c>
      <c r="B141" s="27" t="n">
        <v>2442.03</v>
      </c>
      <c r="C141" s="1" t="n">
        <v>42383</v>
      </c>
      <c r="D141" s="25" t="n">
        <v>3235.45</v>
      </c>
      <c r="E141" s="25" t="n"/>
      <c r="F141" s="25" t="n"/>
      <c r="G141" s="28">
        <f>D141-B141</f>
        <v/>
      </c>
      <c r="H141" s="10">
        <f>(D141/B141)-1</f>
        <v/>
      </c>
      <c r="I141" s="7" t="n"/>
      <c r="J141" s="1" t="n">
        <v>42822</v>
      </c>
      <c r="K141" s="25" t="n">
        <v>2913.48</v>
      </c>
      <c r="L141" s="1" t="n">
        <v>43187</v>
      </c>
      <c r="M141" s="25" t="n">
        <v>2780.04</v>
      </c>
      <c r="N141" s="26">
        <f>M141-K141</f>
        <v/>
      </c>
      <c r="O141" s="7">
        <f>(M141/K141)-1</f>
        <v/>
      </c>
      <c r="P141" s="4" t="n"/>
    </row>
    <row hidden="1" r="142" s="64" spans="1:23">
      <c r="A142" s="1" t="n">
        <v>42019</v>
      </c>
      <c r="B142" s="27" t="n">
        <v>2438.79</v>
      </c>
      <c r="C142" s="1" t="n">
        <v>42384</v>
      </c>
      <c r="D142" s="25" t="n">
        <v>3240.71</v>
      </c>
      <c r="E142" s="25" t="n"/>
      <c r="F142" s="25" t="n"/>
      <c r="G142" s="28">
        <f>D142-B142</f>
        <v/>
      </c>
      <c r="H142" s="10">
        <f>(D142/B142)-1</f>
        <v/>
      </c>
      <c r="I142" s="7" t="n"/>
      <c r="J142" s="1" t="n">
        <v>42822</v>
      </c>
      <c r="K142" s="25" t="n">
        <v>2913.48</v>
      </c>
      <c r="L142" s="1" t="n">
        <v>43187</v>
      </c>
      <c r="M142" s="25" t="n">
        <v>2780.04</v>
      </c>
      <c r="N142" s="26">
        <f>M142-K142</f>
        <v/>
      </c>
      <c r="O142" s="7">
        <f>(M142/K142)-1</f>
        <v/>
      </c>
      <c r="P142" s="4" t="n"/>
    </row>
    <row hidden="1" r="143" s="64" spans="1:23">
      <c r="A143" s="1" t="n">
        <v>42020</v>
      </c>
      <c r="B143" s="27" t="n">
        <v>2398.91</v>
      </c>
      <c r="C143" s="1" t="n">
        <v>42385</v>
      </c>
      <c r="D143" s="25" t="n">
        <v>3293.94</v>
      </c>
      <c r="E143" s="25" t="n"/>
      <c r="F143" s="25" t="n"/>
      <c r="G143" s="28">
        <f>D143-B143</f>
        <v/>
      </c>
      <c r="H143" s="10">
        <f>(D143/B143)-1</f>
        <v/>
      </c>
      <c r="I143" s="7" t="n"/>
      <c r="J143" s="1" t="n">
        <v>42822</v>
      </c>
      <c r="K143" s="25" t="n">
        <v>2913.48</v>
      </c>
      <c r="L143" s="1" t="n">
        <v>43187</v>
      </c>
      <c r="M143" s="25" t="n">
        <v>2780.04</v>
      </c>
      <c r="N143" s="26">
        <f>M143-K143</f>
        <v/>
      </c>
      <c r="O143" s="7">
        <f>(M143/K143)-1</f>
        <v/>
      </c>
      <c r="P143" s="4" t="n"/>
    </row>
    <row hidden="1" r="144" s="64" spans="1:23">
      <c r="A144" s="1" t="n">
        <v>42021</v>
      </c>
      <c r="B144" s="27" t="n">
        <v>2383.91</v>
      </c>
      <c r="C144" s="1" t="n">
        <v>42386</v>
      </c>
      <c r="D144" s="25" t="n">
        <v>3293.94</v>
      </c>
      <c r="E144" s="25" t="n"/>
      <c r="F144" s="25" t="n"/>
      <c r="G144" s="28">
        <f>D144-B144</f>
        <v/>
      </c>
      <c r="H144" s="10">
        <f>(D144/B144)-1</f>
        <v/>
      </c>
      <c r="I144" s="7" t="n"/>
      <c r="J144" s="1" t="n">
        <v>42822</v>
      </c>
      <c r="K144" s="25" t="n">
        <v>2913.48</v>
      </c>
      <c r="L144" s="1" t="n">
        <v>43187</v>
      </c>
      <c r="M144" s="25" t="n">
        <v>2780.04</v>
      </c>
      <c r="N144" s="26">
        <f>M144-K144</f>
        <v/>
      </c>
      <c r="O144" s="7">
        <f>(M144/K144)-1</f>
        <v/>
      </c>
      <c r="P144" s="4" t="n"/>
    </row>
    <row hidden="1" r="145" s="64" spans="1:23">
      <c r="A145" s="1" t="n">
        <v>42022</v>
      </c>
      <c r="B145" s="27" t="n">
        <v>2383.91</v>
      </c>
      <c r="C145" s="1" t="n">
        <v>42387</v>
      </c>
      <c r="D145" s="25" t="n">
        <v>3293.94</v>
      </c>
      <c r="E145" s="25" t="n"/>
      <c r="F145" s="25" t="n"/>
      <c r="G145" s="28">
        <f>D145-B145</f>
        <v/>
      </c>
      <c r="H145" s="10">
        <f>(D145/B145)-1</f>
        <v/>
      </c>
      <c r="I145" s="7" t="n"/>
      <c r="J145" s="1" t="n">
        <v>42822</v>
      </c>
      <c r="K145" s="25" t="n">
        <v>2913.48</v>
      </c>
      <c r="L145" s="1" t="n">
        <v>43187</v>
      </c>
      <c r="M145" s="25" t="n">
        <v>2780.04</v>
      </c>
      <c r="N145" s="26">
        <f>M145-K145</f>
        <v/>
      </c>
      <c r="O145" s="7">
        <f>(M145/K145)-1</f>
        <v/>
      </c>
      <c r="P145" s="4" t="n"/>
    </row>
    <row hidden="1" r="146" s="64" spans="1:23">
      <c r="A146" s="1" t="n">
        <v>42023</v>
      </c>
      <c r="B146" s="27" t="n">
        <v>2383.91</v>
      </c>
      <c r="C146" s="1" t="n">
        <v>42388</v>
      </c>
      <c r="D146" s="25" t="n">
        <v>3293.94</v>
      </c>
      <c r="E146" s="25" t="n"/>
      <c r="F146" s="25" t="n"/>
      <c r="G146" s="28">
        <f>D146-B146</f>
        <v/>
      </c>
      <c r="H146" s="10">
        <f>(D146/B146)-1</f>
        <v/>
      </c>
      <c r="I146" s="7" t="n"/>
      <c r="J146" s="1" t="n">
        <v>42822</v>
      </c>
      <c r="K146" s="25" t="n">
        <v>2913.48</v>
      </c>
      <c r="L146" s="1" t="n">
        <v>43187</v>
      </c>
      <c r="M146" s="25" t="n">
        <v>2780.04</v>
      </c>
      <c r="N146" s="26">
        <f>M146-K146</f>
        <v/>
      </c>
      <c r="O146" s="7">
        <f>(M146/K146)-1</f>
        <v/>
      </c>
      <c r="P146" s="4" t="n"/>
    </row>
    <row hidden="1" r="147" s="64" spans="1:23">
      <c r="A147" s="1" t="n">
        <v>42024</v>
      </c>
      <c r="B147" s="27" t="n">
        <v>2383.91</v>
      </c>
      <c r="C147" s="1" t="n">
        <v>42389</v>
      </c>
      <c r="D147" s="25" t="n">
        <v>3297.46</v>
      </c>
      <c r="E147" s="25" t="n"/>
      <c r="F147" s="25" t="n"/>
      <c r="G147" s="28">
        <f>D147-B147</f>
        <v/>
      </c>
      <c r="H147" s="10">
        <f>(D147/B147)-1</f>
        <v/>
      </c>
      <c r="I147" s="7" t="n"/>
      <c r="J147" s="1" t="n">
        <v>42822</v>
      </c>
      <c r="K147" s="25" t="n">
        <v>2913.48</v>
      </c>
      <c r="L147" s="1" t="n">
        <v>43187</v>
      </c>
      <c r="M147" s="25" t="n">
        <v>2780.04</v>
      </c>
      <c r="N147" s="26">
        <f>M147-K147</f>
        <v/>
      </c>
      <c r="O147" s="7">
        <f>(M147/K147)-1</f>
        <v/>
      </c>
      <c r="P147" s="4" t="n"/>
    </row>
    <row hidden="1" r="148" s="64" spans="1:23">
      <c r="A148" s="1" t="n">
        <v>42025</v>
      </c>
      <c r="B148" s="27" t="n">
        <v>2373.44</v>
      </c>
      <c r="C148" s="1" t="n">
        <v>42390</v>
      </c>
      <c r="D148" s="25" t="n">
        <v>3357.67</v>
      </c>
      <c r="E148" s="25" t="n"/>
      <c r="F148" s="25" t="n"/>
      <c r="G148" s="28">
        <f>D148-B148</f>
        <v/>
      </c>
      <c r="H148" s="10">
        <f>(D148/B148)-1</f>
        <v/>
      </c>
      <c r="I148" s="7" t="n"/>
      <c r="J148" s="1" t="n">
        <v>42822</v>
      </c>
      <c r="K148" s="25" t="n">
        <v>2913.48</v>
      </c>
      <c r="L148" s="1" t="n">
        <v>43187</v>
      </c>
      <c r="M148" s="25" t="n">
        <v>2780.04</v>
      </c>
      <c r="N148" s="26">
        <f>M148-K148</f>
        <v/>
      </c>
      <c r="O148" s="7">
        <f>(M148/K148)-1</f>
        <v/>
      </c>
      <c r="P148" s="4" t="n"/>
    </row>
    <row hidden="1" r="149" s="64" spans="1:23">
      <c r="A149" s="1" t="n">
        <v>42026</v>
      </c>
      <c r="B149" s="27" t="n">
        <v>2361.54</v>
      </c>
      <c r="C149" s="1" t="n">
        <v>42391</v>
      </c>
      <c r="D149" s="25" t="n">
        <v>3368.49</v>
      </c>
      <c r="E149" s="25" t="n"/>
      <c r="F149" s="25" t="n"/>
      <c r="G149" s="28">
        <f>D149-B149</f>
        <v/>
      </c>
      <c r="H149" s="10">
        <f>(D149/B149)-1</f>
        <v/>
      </c>
      <c r="I149" s="7" t="n"/>
      <c r="J149" s="1" t="n">
        <v>42822</v>
      </c>
      <c r="K149" s="25" t="n">
        <v>2913.48</v>
      </c>
      <c r="L149" s="1" t="n">
        <v>43187</v>
      </c>
      <c r="M149" s="25" t="n">
        <v>2780.04</v>
      </c>
      <c r="N149" s="26">
        <f>M149-K149</f>
        <v/>
      </c>
      <c r="O149" s="7">
        <f>(M149/K149)-1</f>
        <v/>
      </c>
      <c r="P149" s="4" t="n"/>
    </row>
    <row hidden="1" r="150" s="64" spans="1:23">
      <c r="A150" s="1" t="n">
        <v>42027</v>
      </c>
      <c r="B150" s="27" t="n">
        <v>2370.75</v>
      </c>
      <c r="C150" s="1" t="n">
        <v>42392</v>
      </c>
      <c r="D150" s="25" t="n">
        <v>3281.74</v>
      </c>
      <c r="E150" s="25" t="n"/>
      <c r="F150" s="25" t="n"/>
      <c r="G150" s="28">
        <f>D150-B150</f>
        <v/>
      </c>
      <c r="H150" s="10">
        <f>(D150/B150)-1</f>
        <v/>
      </c>
      <c r="I150" s="7" t="n"/>
      <c r="J150" s="1" t="n">
        <v>42822</v>
      </c>
      <c r="K150" s="25" t="n">
        <v>2913.48</v>
      </c>
      <c r="L150" s="1" t="n">
        <v>43187</v>
      </c>
      <c r="M150" s="25" t="n">
        <v>2780.04</v>
      </c>
      <c r="N150" s="26">
        <f>M150-K150</f>
        <v/>
      </c>
      <c r="O150" s="7">
        <f>(M150/K150)-1</f>
        <v/>
      </c>
      <c r="P150" s="4" t="n"/>
    </row>
    <row hidden="1" r="151" s="64" spans="1:23">
      <c r="A151" s="1" t="n">
        <v>42028</v>
      </c>
      <c r="B151" s="27" t="n">
        <v>2386.5</v>
      </c>
      <c r="C151" s="1" t="n">
        <v>42393</v>
      </c>
      <c r="D151" s="25" t="n">
        <v>3281.74</v>
      </c>
      <c r="E151" s="25" t="n"/>
      <c r="F151" s="25" t="n"/>
      <c r="G151" s="28">
        <f>D151-B151</f>
        <v/>
      </c>
      <c r="H151" s="10">
        <f>(D151/B151)-1</f>
        <v/>
      </c>
      <c r="I151" s="7" t="n"/>
      <c r="J151" s="1" t="n">
        <v>42822</v>
      </c>
      <c r="K151" s="25" t="n">
        <v>2913.48</v>
      </c>
      <c r="L151" s="1" t="n">
        <v>43187</v>
      </c>
      <c r="M151" s="25" t="n">
        <v>2780.04</v>
      </c>
      <c r="N151" s="26">
        <f>M151-K151</f>
        <v/>
      </c>
      <c r="O151" s="7">
        <f>(M151/K151)-1</f>
        <v/>
      </c>
      <c r="P151" s="4" t="n"/>
    </row>
    <row hidden="1" r="152" s="64" spans="1:23">
      <c r="A152" s="1" t="n">
        <v>42029</v>
      </c>
      <c r="B152" s="27" t="n">
        <v>2386.5</v>
      </c>
      <c r="C152" s="1" t="n">
        <v>42394</v>
      </c>
      <c r="D152" s="25" t="n">
        <v>3281.74</v>
      </c>
      <c r="E152" s="25" t="n"/>
      <c r="F152" s="25" t="n"/>
      <c r="G152" s="28">
        <f>D152-B152</f>
        <v/>
      </c>
      <c r="H152" s="10">
        <f>(D152/B152)-1</f>
        <v/>
      </c>
      <c r="I152" s="7" t="n"/>
      <c r="J152" s="1" t="n">
        <v>42822</v>
      </c>
      <c r="K152" s="25" t="n">
        <v>2913.48</v>
      </c>
      <c r="L152" s="1" t="n">
        <v>43187</v>
      </c>
      <c r="M152" s="25" t="n">
        <v>2780.04</v>
      </c>
      <c r="N152" s="26">
        <f>M152-K152</f>
        <v/>
      </c>
      <c r="O152" s="7">
        <f>(M152/K152)-1</f>
        <v/>
      </c>
      <c r="P152" s="4" t="n"/>
    </row>
    <row hidden="1" r="153" s="64" spans="1:23">
      <c r="A153" s="1" t="n">
        <v>42030</v>
      </c>
      <c r="B153" s="27" t="n">
        <v>2386.5</v>
      </c>
      <c r="C153" s="1" t="n">
        <v>42395</v>
      </c>
      <c r="D153" s="25" t="n">
        <v>3362.38</v>
      </c>
      <c r="E153" s="25" t="n"/>
      <c r="F153" s="25" t="n"/>
      <c r="G153" s="28">
        <f>D153-B153</f>
        <v/>
      </c>
      <c r="H153" s="10">
        <f>(D153/B153)-1</f>
        <v/>
      </c>
      <c r="I153" s="7" t="n"/>
      <c r="J153" s="1" t="n">
        <v>42822</v>
      </c>
      <c r="K153" s="25" t="n">
        <v>2913.48</v>
      </c>
      <c r="L153" s="1" t="n">
        <v>43187</v>
      </c>
      <c r="M153" s="25" t="n">
        <v>2780.04</v>
      </c>
      <c r="N153" s="26">
        <f>M153-K153</f>
        <v/>
      </c>
      <c r="O153" s="7">
        <f>(M153/K153)-1</f>
        <v/>
      </c>
      <c r="P153" s="4" t="n"/>
    </row>
    <row hidden="1" r="154" s="64" spans="1:23">
      <c r="A154" s="1" t="n">
        <v>42031</v>
      </c>
      <c r="B154" s="27" t="n">
        <v>2386.28</v>
      </c>
      <c r="C154" s="1" t="n">
        <v>42396</v>
      </c>
      <c r="D154" s="25" t="n">
        <v>3375.8</v>
      </c>
      <c r="E154" s="25" t="n"/>
      <c r="F154" s="25" t="n"/>
      <c r="G154" s="28">
        <f>D154-B154</f>
        <v/>
      </c>
      <c r="H154" s="10">
        <f>(D154/B154)-1</f>
        <v/>
      </c>
      <c r="I154" s="7" t="n"/>
      <c r="J154" s="1" t="n">
        <v>42822</v>
      </c>
      <c r="K154" s="25" t="n">
        <v>2913.48</v>
      </c>
      <c r="L154" s="1" t="n">
        <v>43187</v>
      </c>
      <c r="M154" s="25" t="n">
        <v>2780.04</v>
      </c>
      <c r="N154" s="26">
        <f>M154-K154</f>
        <v/>
      </c>
      <c r="O154" s="7">
        <f>(M154/K154)-1</f>
        <v/>
      </c>
      <c r="P154" s="4" t="n"/>
    </row>
    <row hidden="1" r="155" s="64" spans="1:23">
      <c r="A155" s="1" t="n">
        <v>42032</v>
      </c>
      <c r="B155" s="27" t="n">
        <v>2381.11</v>
      </c>
      <c r="C155" s="1" t="n">
        <v>42397</v>
      </c>
      <c r="D155" s="25" t="n">
        <v>3366.63</v>
      </c>
      <c r="E155" s="25" t="n"/>
      <c r="F155" s="25" t="n"/>
      <c r="G155" s="28">
        <f>D155-B155</f>
        <v/>
      </c>
      <c r="H155" s="10">
        <f>(D155/B155)-1</f>
        <v/>
      </c>
      <c r="I155" s="7" t="n"/>
      <c r="J155" s="1" t="n">
        <v>42822</v>
      </c>
      <c r="K155" s="25" t="n">
        <v>2913.48</v>
      </c>
      <c r="L155" s="1" t="n">
        <v>43187</v>
      </c>
      <c r="M155" s="25" t="n">
        <v>2780.04</v>
      </c>
      <c r="N155" s="26">
        <f>M155-K155</f>
        <v/>
      </c>
      <c r="O155" s="7">
        <f>(M155/K155)-1</f>
        <v/>
      </c>
      <c r="P155" s="4" t="n"/>
    </row>
    <row hidden="1" r="156" s="64" spans="1:23">
      <c r="A156" s="1" t="n">
        <v>42033</v>
      </c>
      <c r="B156" s="27" t="n">
        <v>2362.42</v>
      </c>
      <c r="C156" s="1" t="n">
        <v>42398</v>
      </c>
      <c r="D156" s="25" t="n">
        <v>3302.92</v>
      </c>
      <c r="E156" s="25" t="n"/>
      <c r="F156" s="25" t="n"/>
      <c r="G156" s="28">
        <f>D156-B156</f>
        <v/>
      </c>
      <c r="H156" s="10">
        <f>(D156/B156)-1</f>
        <v/>
      </c>
      <c r="I156" s="7" t="n"/>
      <c r="J156" s="1" t="n">
        <v>42822</v>
      </c>
      <c r="K156" s="25" t="n">
        <v>2913.48</v>
      </c>
      <c r="L156" s="1" t="n">
        <v>43187</v>
      </c>
      <c r="M156" s="25" t="n">
        <v>2780.04</v>
      </c>
      <c r="N156" s="26">
        <f>M156-K156</f>
        <v/>
      </c>
      <c r="O156" s="7">
        <f>(M156/K156)-1</f>
        <v/>
      </c>
      <c r="P156" s="4" t="n"/>
    </row>
    <row hidden="1" r="157" s="64" spans="1:23">
      <c r="A157" s="1" t="n">
        <v>42034</v>
      </c>
      <c r="B157" s="27" t="n">
        <v>2397.35</v>
      </c>
      <c r="C157" s="1" t="n">
        <v>42399</v>
      </c>
      <c r="D157" s="25" t="n">
        <v>3287.31</v>
      </c>
      <c r="E157" s="25" t="n"/>
      <c r="F157" s="25" t="n"/>
      <c r="G157" s="28">
        <f>D157-B157</f>
        <v/>
      </c>
      <c r="H157" s="10">
        <f>(D157/B157)-1</f>
        <v/>
      </c>
      <c r="I157" s="7" t="n"/>
      <c r="J157" s="1" t="n">
        <v>42822</v>
      </c>
      <c r="K157" s="25" t="n">
        <v>2913.48</v>
      </c>
      <c r="L157" s="1" t="n">
        <v>43187</v>
      </c>
      <c r="M157" s="25" t="n">
        <v>2780.04</v>
      </c>
      <c r="N157" s="26">
        <f>M157-K157</f>
        <v/>
      </c>
      <c r="O157" s="7">
        <f>(M157/K157)-1</f>
        <v/>
      </c>
      <c r="P157" s="4" t="n"/>
    </row>
    <row hidden="1" r="158" s="64" spans="1:23">
      <c r="A158" s="1" t="n">
        <v>42035</v>
      </c>
      <c r="B158" s="27" t="n">
        <v>2441.1</v>
      </c>
      <c r="C158" s="1" t="n">
        <v>42400</v>
      </c>
      <c r="D158" s="25" t="n">
        <v>3287.31</v>
      </c>
      <c r="E158" s="25" t="n"/>
      <c r="F158" s="25" t="n"/>
      <c r="G158" s="28">
        <f>D158-B158</f>
        <v/>
      </c>
      <c r="H158" s="10">
        <f>(D158/B158)-1</f>
        <v/>
      </c>
      <c r="I158" s="7" t="n"/>
      <c r="J158" s="1" t="n">
        <v>42822</v>
      </c>
      <c r="K158" s="25" t="n">
        <v>2913.48</v>
      </c>
      <c r="L158" s="1" t="n">
        <v>43187</v>
      </c>
      <c r="M158" s="25" t="n">
        <v>2780.04</v>
      </c>
      <c r="N158" s="26">
        <f>M158-K158</f>
        <v/>
      </c>
      <c r="O158" s="7">
        <f>(M158/K158)-1</f>
        <v/>
      </c>
      <c r="P158" s="4" t="n"/>
    </row>
    <row hidden="1" r="159" s="64" spans="1:23">
      <c r="A159" s="1" t="n">
        <v>42036</v>
      </c>
      <c r="B159" s="27" t="n">
        <v>2441.1</v>
      </c>
      <c r="C159" s="1" t="n">
        <v>42401</v>
      </c>
      <c r="D159" s="25" t="n">
        <v>3287.31</v>
      </c>
      <c r="E159" s="25" t="n"/>
      <c r="F159" s="25" t="n"/>
      <c r="G159" s="28">
        <f>D159-B159</f>
        <v/>
      </c>
      <c r="H159" s="10">
        <f>(D159/B159)-1</f>
        <v/>
      </c>
      <c r="I159" s="7" t="n"/>
      <c r="J159" s="1" t="n">
        <v>42822</v>
      </c>
      <c r="K159" s="25" t="n">
        <v>2913.48</v>
      </c>
      <c r="L159" s="1" t="n">
        <v>43187</v>
      </c>
      <c r="M159" s="25" t="n">
        <v>2780.04</v>
      </c>
      <c r="N159" s="26">
        <f>M159-K159</f>
        <v/>
      </c>
      <c r="O159" s="7">
        <f>(M159/K159)-1</f>
        <v/>
      </c>
      <c r="P159" s="4" t="n"/>
    </row>
    <row hidden="1" r="160" s="64" spans="1:23">
      <c r="A160" s="1" t="n">
        <v>42037</v>
      </c>
      <c r="B160" s="27" t="n">
        <v>2441.1</v>
      </c>
      <c r="C160" s="1" t="n">
        <v>42402</v>
      </c>
      <c r="D160" s="25" t="n">
        <v>3326.82</v>
      </c>
      <c r="E160" s="25" t="n"/>
      <c r="F160" s="25" t="n"/>
      <c r="G160" s="28">
        <f>D160-B160</f>
        <v/>
      </c>
      <c r="H160" s="10">
        <f>(D160/B160)-1</f>
        <v/>
      </c>
      <c r="I160" s="7" t="n"/>
      <c r="J160" s="1" t="n">
        <v>42822</v>
      </c>
      <c r="K160" s="25" t="n">
        <v>2913.48</v>
      </c>
      <c r="L160" s="1" t="n">
        <v>43187</v>
      </c>
      <c r="M160" s="25" t="n">
        <v>2780.04</v>
      </c>
      <c r="N160" s="26">
        <f>M160-K160</f>
        <v/>
      </c>
      <c r="O160" s="7">
        <f>(M160/K160)-1</f>
        <v/>
      </c>
      <c r="P160" s="4" t="n"/>
    </row>
    <row hidden="1" r="161" s="64" spans="1:23">
      <c r="A161" s="1" t="n">
        <v>42038</v>
      </c>
      <c r="B161" s="27" t="n">
        <v>2407.29</v>
      </c>
      <c r="C161" s="1" t="n">
        <v>42403</v>
      </c>
      <c r="D161" s="25" t="n">
        <v>3387.69</v>
      </c>
      <c r="E161" s="25" t="n"/>
      <c r="F161" s="25" t="n"/>
      <c r="G161" s="28">
        <f>D161-B161</f>
        <v/>
      </c>
      <c r="H161" s="10">
        <f>(D161/B161)-1</f>
        <v/>
      </c>
      <c r="I161" s="7" t="n"/>
      <c r="J161" s="1" t="n">
        <v>42822</v>
      </c>
      <c r="K161" s="25" t="n">
        <v>2913.48</v>
      </c>
      <c r="L161" s="1" t="n">
        <v>43187</v>
      </c>
      <c r="M161" s="25" t="n">
        <v>2780.04</v>
      </c>
      <c r="N161" s="26">
        <f>M161-K161</f>
        <v/>
      </c>
      <c r="O161" s="7">
        <f>(M161/K161)-1</f>
        <v/>
      </c>
      <c r="P161" s="4" t="n"/>
    </row>
    <row hidden="1" r="162" s="64" spans="1:23">
      <c r="A162" s="1" t="n">
        <v>42039</v>
      </c>
      <c r="B162" s="27" t="n">
        <v>2374.72</v>
      </c>
      <c r="C162" s="1" t="n">
        <v>42404</v>
      </c>
      <c r="D162" s="25" t="n">
        <v>3382.2</v>
      </c>
      <c r="E162" s="25" t="n"/>
      <c r="F162" s="25" t="n"/>
      <c r="G162" s="28">
        <f>D162-B162</f>
        <v/>
      </c>
      <c r="H162" s="10">
        <f>(D162/B162)-1</f>
        <v/>
      </c>
      <c r="I162" s="7" t="n"/>
      <c r="J162" s="1" t="n">
        <v>42822</v>
      </c>
      <c r="K162" s="25" t="n">
        <v>2913.48</v>
      </c>
      <c r="L162" s="1" t="n">
        <v>43187</v>
      </c>
      <c r="M162" s="25" t="n">
        <v>2780.04</v>
      </c>
      <c r="N162" s="26">
        <f>M162-K162</f>
        <v/>
      </c>
      <c r="O162" s="7">
        <f>(M162/K162)-1</f>
        <v/>
      </c>
      <c r="P162" s="4" t="n"/>
    </row>
    <row hidden="1" r="163" s="64" spans="1:23">
      <c r="A163" s="1" t="n">
        <v>42040</v>
      </c>
      <c r="B163" s="27" t="n">
        <v>2381.91</v>
      </c>
      <c r="C163" s="1" t="n">
        <v>42405</v>
      </c>
      <c r="D163" s="25" t="n">
        <v>3315.75</v>
      </c>
      <c r="E163" s="25" t="n"/>
      <c r="F163" s="25" t="n"/>
      <c r="G163" s="28">
        <f>D163-B163</f>
        <v/>
      </c>
      <c r="H163" s="10">
        <f>(D163/B163)-1</f>
        <v/>
      </c>
      <c r="I163" s="7" t="n"/>
      <c r="J163" s="1" t="n">
        <v>42822</v>
      </c>
      <c r="K163" s="25" t="n">
        <v>2913.48</v>
      </c>
      <c r="L163" s="1" t="n">
        <v>43187</v>
      </c>
      <c r="M163" s="25" t="n">
        <v>2780.04</v>
      </c>
      <c r="N163" s="26">
        <f>M163-K163</f>
        <v/>
      </c>
      <c r="O163" s="7">
        <f>(M163/K163)-1</f>
        <v/>
      </c>
      <c r="P163" s="4" t="n"/>
    </row>
    <row hidden="1" r="164" s="64" spans="1:23">
      <c r="A164" s="1" t="n">
        <v>42041</v>
      </c>
      <c r="B164" s="27" t="n">
        <v>2384.53</v>
      </c>
      <c r="C164" s="1" t="n">
        <v>42406</v>
      </c>
      <c r="D164" s="25" t="n">
        <v>3320.49</v>
      </c>
      <c r="E164" s="25" t="n"/>
      <c r="F164" s="25" t="n"/>
      <c r="G164" s="28">
        <f>D164-B164</f>
        <v/>
      </c>
      <c r="H164" s="10">
        <f>(D164/B164)-1</f>
        <v/>
      </c>
      <c r="I164" s="7" t="n"/>
      <c r="J164" s="1" t="n">
        <v>42822</v>
      </c>
      <c r="K164" s="25" t="n">
        <v>2913.48</v>
      </c>
      <c r="L164" s="1" t="n">
        <v>43187</v>
      </c>
      <c r="M164" s="25" t="n">
        <v>2780.04</v>
      </c>
      <c r="N164" s="26">
        <f>M164-K164</f>
        <v/>
      </c>
      <c r="O164" s="7">
        <f>(M164/K164)-1</f>
        <v/>
      </c>
      <c r="P164" s="4" t="n"/>
    </row>
    <row hidden="1" r="165" s="64" spans="1:23">
      <c r="A165" s="1" t="n">
        <v>42042</v>
      </c>
      <c r="B165" s="27" t="n">
        <v>2384.76</v>
      </c>
      <c r="C165" s="1" t="n">
        <v>42407</v>
      </c>
      <c r="D165" s="25" t="n">
        <v>3320.49</v>
      </c>
      <c r="E165" s="25" t="n"/>
      <c r="F165" s="25" t="n"/>
      <c r="G165" s="28">
        <f>D165-B165</f>
        <v/>
      </c>
      <c r="H165" s="10">
        <f>(D165/B165)-1</f>
        <v/>
      </c>
      <c r="I165" s="7" t="n"/>
      <c r="J165" s="1" t="n">
        <v>42822</v>
      </c>
      <c r="K165" s="25" t="n">
        <v>2913.48</v>
      </c>
      <c r="L165" s="1" t="n">
        <v>43187</v>
      </c>
      <c r="M165" s="25" t="n">
        <v>2780.04</v>
      </c>
      <c r="N165" s="26">
        <f>M165-K165</f>
        <v/>
      </c>
      <c r="O165" s="7">
        <f>(M165/K165)-1</f>
        <v/>
      </c>
      <c r="P165" s="4" t="n"/>
    </row>
    <row hidden="1" r="166" s="64" spans="1:23">
      <c r="A166" s="1" t="n">
        <v>42043</v>
      </c>
      <c r="B166" s="27" t="n">
        <v>2384.76</v>
      </c>
      <c r="C166" s="1" t="n">
        <v>42408</v>
      </c>
      <c r="D166" s="25" t="n">
        <v>3320.49</v>
      </c>
      <c r="E166" s="25" t="n"/>
      <c r="F166" s="25" t="n"/>
      <c r="G166" s="28">
        <f>D166-B166</f>
        <v/>
      </c>
      <c r="H166" s="10">
        <f>(D166/B166)-1</f>
        <v/>
      </c>
      <c r="I166" s="7" t="n"/>
      <c r="J166" s="1" t="n">
        <v>42822</v>
      </c>
      <c r="K166" s="25" t="n">
        <v>2913.48</v>
      </c>
      <c r="L166" s="1" t="n">
        <v>43187</v>
      </c>
      <c r="M166" s="25" t="n">
        <v>2780.04</v>
      </c>
      <c r="N166" s="26">
        <f>M166-K166</f>
        <v/>
      </c>
      <c r="O166" s="7">
        <f>(M166/K166)-1</f>
        <v/>
      </c>
      <c r="P166" s="4" t="n"/>
    </row>
    <row hidden="1" r="167" s="64" spans="1:23">
      <c r="A167" s="1" t="n">
        <v>42044</v>
      </c>
      <c r="B167" s="27" t="n">
        <v>2384.76</v>
      </c>
      <c r="C167" s="1" t="n">
        <v>42409</v>
      </c>
      <c r="D167" s="25" t="n">
        <v>3367.02</v>
      </c>
      <c r="E167" s="25" t="n"/>
      <c r="F167" s="25" t="n"/>
      <c r="G167" s="28">
        <f>D167-B167</f>
        <v/>
      </c>
      <c r="H167" s="10">
        <f>(D167/B167)-1</f>
        <v/>
      </c>
      <c r="I167" s="7" t="n"/>
      <c r="J167" s="1" t="n">
        <v>42822</v>
      </c>
      <c r="K167" s="25" t="n">
        <v>2913.48</v>
      </c>
      <c r="L167" s="1" t="n">
        <v>43187</v>
      </c>
      <c r="M167" s="25" t="n">
        <v>2780.04</v>
      </c>
      <c r="N167" s="26">
        <f>M167-K167</f>
        <v/>
      </c>
      <c r="O167" s="7">
        <f>(M167/K167)-1</f>
        <v/>
      </c>
      <c r="P167" s="4" t="n"/>
    </row>
    <row hidden="1" r="168" s="64" spans="1:23">
      <c r="A168" s="1" t="n">
        <v>42045</v>
      </c>
      <c r="B168" s="27" t="n">
        <v>2371.31</v>
      </c>
      <c r="C168" s="1" t="n">
        <v>42410</v>
      </c>
      <c r="D168" s="25" t="n">
        <v>3391.93</v>
      </c>
      <c r="E168" s="25" t="n"/>
      <c r="F168" s="25" t="n"/>
      <c r="G168" s="28">
        <f>D168-B168</f>
        <v/>
      </c>
      <c r="H168" s="10">
        <f>(D168/B168)-1</f>
        <v/>
      </c>
      <c r="I168" s="7" t="n"/>
      <c r="J168" s="1" t="n">
        <v>42822</v>
      </c>
      <c r="K168" s="25" t="n">
        <v>2913.48</v>
      </c>
      <c r="L168" s="1" t="n">
        <v>43187</v>
      </c>
      <c r="M168" s="25" t="n">
        <v>2780.04</v>
      </c>
      <c r="N168" s="26">
        <f>M168-K168</f>
        <v/>
      </c>
      <c r="O168" s="7">
        <f>(M168/K168)-1</f>
        <v/>
      </c>
      <c r="P168" s="4" t="n"/>
    </row>
    <row hidden="1" r="169" s="64" spans="1:23">
      <c r="A169" s="1" t="n">
        <v>42046</v>
      </c>
      <c r="B169" s="27" t="n">
        <v>2380.79</v>
      </c>
      <c r="C169" s="1" t="n">
        <v>42411</v>
      </c>
      <c r="D169" s="25" t="n">
        <v>3385.65</v>
      </c>
      <c r="E169" s="25" t="n"/>
      <c r="F169" s="25" t="n"/>
      <c r="G169" s="28">
        <f>D169-B169</f>
        <v/>
      </c>
      <c r="H169" s="10">
        <f>(D169/B169)-1</f>
        <v/>
      </c>
      <c r="I169" s="7" t="n"/>
      <c r="J169" s="1" t="n">
        <v>42822</v>
      </c>
      <c r="K169" s="25" t="n">
        <v>2913.48</v>
      </c>
      <c r="L169" s="1" t="n">
        <v>43187</v>
      </c>
      <c r="M169" s="25" t="n">
        <v>2780.04</v>
      </c>
      <c r="N169" s="26">
        <f>M169-K169</f>
        <v/>
      </c>
      <c r="O169" s="7">
        <f>(M169/K169)-1</f>
        <v/>
      </c>
      <c r="P169" s="4" t="n"/>
    </row>
    <row hidden="1" r="170" s="64" spans="1:23">
      <c r="A170" s="1" t="n">
        <v>42047</v>
      </c>
      <c r="B170" s="27" t="n">
        <v>2416.61</v>
      </c>
      <c r="C170" s="1" t="n">
        <v>42412</v>
      </c>
      <c r="D170" s="25" t="n">
        <v>3434.89</v>
      </c>
      <c r="E170" s="25" t="n"/>
      <c r="F170" s="25" t="n"/>
      <c r="G170" s="28">
        <f>D170-B170</f>
        <v/>
      </c>
      <c r="H170" s="10">
        <f>(D170/B170)-1</f>
        <v/>
      </c>
      <c r="I170" s="7" t="n"/>
      <c r="J170" s="1" t="n">
        <v>42822</v>
      </c>
      <c r="K170" s="25" t="n">
        <v>2913.48</v>
      </c>
      <c r="L170" s="1" t="n">
        <v>43187</v>
      </c>
      <c r="M170" s="25" t="n">
        <v>2780.04</v>
      </c>
      <c r="N170" s="26">
        <f>M170-K170</f>
        <v/>
      </c>
      <c r="O170" s="7">
        <f>(M170/K170)-1</f>
        <v/>
      </c>
      <c r="P170" s="4" t="n"/>
    </row>
    <row hidden="1" r="171" s="64" spans="1:23">
      <c r="A171" s="1" t="n">
        <v>42048</v>
      </c>
      <c r="B171" s="27" t="n">
        <v>2401.03</v>
      </c>
      <c r="C171" s="1" t="n">
        <v>42413</v>
      </c>
      <c r="D171" s="25" t="n">
        <v>3409.82</v>
      </c>
      <c r="E171" s="25" t="n"/>
      <c r="F171" s="25" t="n"/>
      <c r="G171" s="28">
        <f>D171-B171</f>
        <v/>
      </c>
      <c r="H171" s="10">
        <f>(D171/B171)-1</f>
        <v/>
      </c>
      <c r="I171" s="7" t="n"/>
      <c r="J171" s="1" t="n">
        <v>42822</v>
      </c>
      <c r="K171" s="25" t="n">
        <v>2913.48</v>
      </c>
      <c r="L171" s="1" t="n">
        <v>43187</v>
      </c>
      <c r="M171" s="25" t="n">
        <v>2780.04</v>
      </c>
      <c r="N171" s="26">
        <f>M171-K171</f>
        <v/>
      </c>
      <c r="O171" s="7">
        <f>(M171/K171)-1</f>
        <v/>
      </c>
      <c r="P171" s="4" t="n"/>
    </row>
    <row hidden="1" r="172" s="64" spans="1:23">
      <c r="A172" s="1" t="n">
        <v>42049</v>
      </c>
      <c r="B172" s="27" t="n">
        <v>2376.23</v>
      </c>
      <c r="C172" s="1" t="n">
        <v>42414</v>
      </c>
      <c r="D172" s="25" t="n">
        <v>3409.82</v>
      </c>
      <c r="E172" s="25" t="n"/>
      <c r="F172" s="25" t="n"/>
      <c r="G172" s="28">
        <f>D172-B172</f>
        <v/>
      </c>
      <c r="H172" s="10">
        <f>(D172/B172)-1</f>
        <v/>
      </c>
      <c r="I172" s="7" t="n"/>
      <c r="J172" s="1" t="n">
        <v>42822</v>
      </c>
      <c r="K172" s="25" t="n">
        <v>2913.48</v>
      </c>
      <c r="L172" s="1" t="n">
        <v>43187</v>
      </c>
      <c r="M172" s="25" t="n">
        <v>2780.04</v>
      </c>
      <c r="N172" s="26">
        <f>M172-K172</f>
        <v/>
      </c>
      <c r="O172" s="7">
        <f>(M172/K172)-1</f>
        <v/>
      </c>
      <c r="P172" s="4" t="n"/>
    </row>
    <row hidden="1" r="173" s="64" spans="1:23">
      <c r="A173" s="1" t="n">
        <v>42050</v>
      </c>
      <c r="B173" s="27" t="n">
        <v>2376.26</v>
      </c>
      <c r="C173" s="1" t="n">
        <v>42415</v>
      </c>
      <c r="D173" s="25" t="n">
        <v>3409.82</v>
      </c>
      <c r="E173" s="25" t="n"/>
      <c r="F173" s="25" t="n"/>
      <c r="G173" s="28">
        <f>D173-B173</f>
        <v/>
      </c>
      <c r="H173" s="10">
        <f>(D173/B173)-1</f>
        <v/>
      </c>
      <c r="I173" s="7" t="n"/>
      <c r="J173" s="1" t="n">
        <v>42822</v>
      </c>
      <c r="K173" s="25" t="n">
        <v>2913.48</v>
      </c>
      <c r="L173" s="1" t="n">
        <v>43187</v>
      </c>
      <c r="M173" s="25" t="n">
        <v>2780.04</v>
      </c>
      <c r="N173" s="26">
        <f>M173-K173</f>
        <v/>
      </c>
      <c r="O173" s="7">
        <f>(M173/K173)-1</f>
        <v/>
      </c>
      <c r="P173" s="4" t="n"/>
    </row>
    <row hidden="1" r="174" s="64" spans="1:23">
      <c r="A174" s="1" t="n">
        <v>42051</v>
      </c>
      <c r="B174" s="27" t="n">
        <v>2376.23</v>
      </c>
      <c r="C174" s="1" t="n">
        <v>42416</v>
      </c>
      <c r="D174" s="25" t="n">
        <v>3409.82</v>
      </c>
      <c r="E174" s="25" t="n"/>
      <c r="F174" s="25" t="n"/>
      <c r="G174" s="28">
        <f>D174-B174</f>
        <v/>
      </c>
      <c r="H174" s="10">
        <f>(D174/B174)-1</f>
        <v/>
      </c>
      <c r="I174" s="7" t="n"/>
      <c r="J174" s="1" t="n">
        <v>42822</v>
      </c>
      <c r="K174" s="25" t="n">
        <v>2913.48</v>
      </c>
      <c r="L174" s="1" t="n">
        <v>43187</v>
      </c>
      <c r="M174" s="25" t="n">
        <v>2780.04</v>
      </c>
      <c r="N174" s="26">
        <f>M174-K174</f>
        <v/>
      </c>
      <c r="O174" s="7">
        <f>(M174/K174)-1</f>
        <v/>
      </c>
      <c r="P174" s="4" t="n"/>
    </row>
    <row hidden="1" r="175" s="64" spans="1:23">
      <c r="A175" s="1" t="n">
        <v>42052</v>
      </c>
      <c r="B175" s="27" t="n">
        <v>2376.23</v>
      </c>
      <c r="C175" s="1" t="n">
        <v>42417</v>
      </c>
      <c r="D175" s="25" t="n">
        <v>3406.87</v>
      </c>
      <c r="E175" s="25" t="n"/>
      <c r="F175" s="25" t="n"/>
      <c r="G175" s="28">
        <f>D175-B175</f>
        <v/>
      </c>
      <c r="H175" s="10">
        <f>(D175/B175)-1</f>
        <v/>
      </c>
      <c r="I175" s="7" t="n"/>
      <c r="J175" s="1" t="n">
        <v>42822</v>
      </c>
      <c r="K175" s="25" t="n">
        <v>2913.48</v>
      </c>
      <c r="L175" s="1" t="n">
        <v>43187</v>
      </c>
      <c r="M175" s="25" t="n">
        <v>2780.04</v>
      </c>
      <c r="N175" s="26">
        <f>M175-K175</f>
        <v/>
      </c>
      <c r="O175" s="7">
        <f>(M175/K175)-1</f>
        <v/>
      </c>
      <c r="P175" s="4" t="n"/>
    </row>
    <row hidden="1" r="176" s="64" spans="1:23">
      <c r="A176" s="1" t="n">
        <v>42053</v>
      </c>
      <c r="B176" s="27" t="n">
        <v>2416.37</v>
      </c>
      <c r="C176" s="1" t="n">
        <v>42418</v>
      </c>
      <c r="D176" s="25" t="n">
        <v>3391.87</v>
      </c>
      <c r="E176" s="25" t="n"/>
      <c r="F176" s="25" t="n"/>
      <c r="G176" s="28">
        <f>D176-B176</f>
        <v/>
      </c>
      <c r="H176" s="10">
        <f>(D176/B176)-1</f>
        <v/>
      </c>
      <c r="I176" s="7" t="n"/>
      <c r="J176" s="1" t="n">
        <v>42822</v>
      </c>
      <c r="K176" s="25" t="n">
        <v>2913.48</v>
      </c>
      <c r="L176" s="1" t="n">
        <v>43187</v>
      </c>
      <c r="M176" s="25" t="n">
        <v>2780.04</v>
      </c>
      <c r="N176" s="26">
        <f>M176-K176</f>
        <v/>
      </c>
      <c r="O176" s="7">
        <f>(M176/K176)-1</f>
        <v/>
      </c>
      <c r="P176" s="4" t="n"/>
    </row>
    <row hidden="1" r="177" s="64" spans="1:23">
      <c r="A177" s="1" t="n">
        <v>42054</v>
      </c>
      <c r="B177" s="27" t="n">
        <v>2429.71</v>
      </c>
      <c r="C177" s="1" t="n">
        <v>42419</v>
      </c>
      <c r="D177" s="25" t="n">
        <v>3338.03</v>
      </c>
      <c r="E177" s="25" t="n"/>
      <c r="F177" s="25" t="n"/>
      <c r="G177" s="28">
        <f>D177-B177</f>
        <v/>
      </c>
      <c r="H177" s="10">
        <f>(D177/B177)-1</f>
        <v/>
      </c>
      <c r="I177" s="7" t="n"/>
      <c r="J177" s="1" t="n">
        <v>42822</v>
      </c>
      <c r="K177" s="25" t="n">
        <v>2913.48</v>
      </c>
      <c r="L177" s="1" t="n">
        <v>43187</v>
      </c>
      <c r="M177" s="25" t="n">
        <v>2780.04</v>
      </c>
      <c r="N177" s="26">
        <f>M177-K177</f>
        <v/>
      </c>
      <c r="O177" s="7">
        <f>(M177/K177)-1</f>
        <v/>
      </c>
      <c r="P177" s="4" t="n"/>
    </row>
    <row hidden="1" r="178" s="64" spans="1:23">
      <c r="A178" s="1" t="n">
        <v>42055</v>
      </c>
      <c r="B178" s="27" t="n">
        <v>2445.16</v>
      </c>
      <c r="C178" s="1" t="n">
        <v>42420</v>
      </c>
      <c r="D178" s="25" t="n">
        <v>3356.78</v>
      </c>
      <c r="E178" s="25" t="n"/>
      <c r="F178" s="25" t="n"/>
      <c r="G178" s="28">
        <f>D178-B178</f>
        <v/>
      </c>
      <c r="H178" s="10">
        <f>(D178/B178)-1</f>
        <v/>
      </c>
      <c r="I178" s="7" t="n"/>
      <c r="J178" s="1" t="n">
        <v>42822</v>
      </c>
      <c r="K178" s="25" t="n">
        <v>2913.48</v>
      </c>
      <c r="L178" s="1" t="n">
        <v>43187</v>
      </c>
      <c r="M178" s="25" t="n">
        <v>2780.04</v>
      </c>
      <c r="N178" s="26">
        <f>M178-K178</f>
        <v/>
      </c>
      <c r="O178" s="7">
        <f>(M178/K178)-1</f>
        <v/>
      </c>
      <c r="P178" s="4" t="n"/>
    </row>
    <row hidden="1" r="179" s="64" spans="1:23">
      <c r="A179" s="1" t="n">
        <v>42056</v>
      </c>
      <c r="B179" s="27" t="n">
        <v>2455.54</v>
      </c>
      <c r="C179" s="1" t="n">
        <v>42421</v>
      </c>
      <c r="D179" s="25" t="n">
        <v>3356.78</v>
      </c>
      <c r="E179" s="25" t="n"/>
      <c r="F179" s="25" t="n"/>
      <c r="G179" s="28">
        <f>D179-B179</f>
        <v/>
      </c>
      <c r="H179" s="10">
        <f>(D179/B179)-1</f>
        <v/>
      </c>
      <c r="I179" s="7" t="n"/>
      <c r="J179" s="1" t="n">
        <v>42822</v>
      </c>
      <c r="K179" s="25" t="n">
        <v>2913.48</v>
      </c>
      <c r="L179" s="1" t="n">
        <v>43187</v>
      </c>
      <c r="M179" s="25" t="n">
        <v>2780.04</v>
      </c>
      <c r="N179" s="26">
        <f>M179-K179</f>
        <v/>
      </c>
      <c r="O179" s="7">
        <f>(M179/K179)-1</f>
        <v/>
      </c>
      <c r="P179" s="4" t="n"/>
    </row>
    <row hidden="1" r="180" s="64" spans="1:23">
      <c r="A180" s="1" t="n">
        <v>42057</v>
      </c>
      <c r="B180" s="27" t="n">
        <v>2455.54</v>
      </c>
      <c r="C180" s="1" t="n">
        <v>42422</v>
      </c>
      <c r="D180" s="25" t="n">
        <v>3356.78</v>
      </c>
      <c r="E180" s="25" t="n"/>
      <c r="F180" s="25" t="n"/>
      <c r="G180" s="28">
        <f>D180-B180</f>
        <v/>
      </c>
      <c r="H180" s="10">
        <f>(D180/B180)-1</f>
        <v/>
      </c>
      <c r="I180" s="7" t="n"/>
      <c r="J180" s="1" t="n">
        <v>42822</v>
      </c>
      <c r="K180" s="25" t="n">
        <v>2913.48</v>
      </c>
      <c r="L180" s="1" t="n">
        <v>43187</v>
      </c>
      <c r="M180" s="25" t="n">
        <v>2780.04</v>
      </c>
      <c r="N180" s="26">
        <f>M180-K180</f>
        <v/>
      </c>
      <c r="O180" s="7">
        <f>(M180/K180)-1</f>
        <v/>
      </c>
      <c r="P180" s="4" t="n"/>
    </row>
    <row hidden="1" r="181" s="64" spans="1:23">
      <c r="A181" s="1" t="n">
        <v>42058</v>
      </c>
      <c r="B181" s="27" t="n">
        <v>2455.54</v>
      </c>
      <c r="C181" s="1" t="n">
        <v>42423</v>
      </c>
      <c r="D181" s="25" t="n">
        <v>3314.24</v>
      </c>
      <c r="E181" s="25" t="n"/>
      <c r="F181" s="25" t="n"/>
      <c r="G181" s="28">
        <f>D181-B181</f>
        <v/>
      </c>
      <c r="H181" s="10">
        <f>(D181/B181)-1</f>
        <v/>
      </c>
      <c r="I181" s="7" t="n"/>
      <c r="J181" s="1" t="n">
        <v>42822</v>
      </c>
      <c r="K181" s="25" t="n">
        <v>2913.48</v>
      </c>
      <c r="L181" s="1" t="n">
        <v>43187</v>
      </c>
      <c r="M181" s="25" t="n">
        <v>2780.04</v>
      </c>
      <c r="N181" s="26">
        <f>M181-K181</f>
        <v/>
      </c>
      <c r="O181" s="7">
        <f>(M181/K181)-1</f>
        <v/>
      </c>
      <c r="P181" s="4" t="n"/>
    </row>
    <row hidden="1" r="182" s="64" spans="1:23">
      <c r="A182" s="1" t="n">
        <v>42059</v>
      </c>
      <c r="B182" s="27" t="n">
        <v>2489.81</v>
      </c>
      <c r="C182" s="1" t="n">
        <v>42424</v>
      </c>
      <c r="D182" s="25" t="n">
        <v>3322.54</v>
      </c>
      <c r="E182" s="25" t="n"/>
      <c r="F182" s="25" t="n"/>
      <c r="G182" s="28">
        <f>D182-B182</f>
        <v/>
      </c>
      <c r="H182" s="10">
        <f>(D182/B182)-1</f>
        <v/>
      </c>
      <c r="I182" s="7" t="n"/>
      <c r="J182" s="1" t="n">
        <v>42822</v>
      </c>
      <c r="K182" s="25" t="n">
        <v>2913.48</v>
      </c>
      <c r="L182" s="1" t="n">
        <v>43187</v>
      </c>
      <c r="M182" s="25" t="n">
        <v>2780.04</v>
      </c>
      <c r="N182" s="26">
        <f>M182-K182</f>
        <v/>
      </c>
      <c r="O182" s="7">
        <f>(M182/K182)-1</f>
        <v/>
      </c>
      <c r="P182" s="4" t="n"/>
    </row>
    <row hidden="1" r="183" s="64" spans="1:23">
      <c r="A183" s="1" t="n">
        <v>42060</v>
      </c>
      <c r="B183" s="27" t="n">
        <v>2500.59</v>
      </c>
      <c r="C183" s="1" t="n">
        <v>42425</v>
      </c>
      <c r="D183" s="25" t="n">
        <v>3341.69</v>
      </c>
      <c r="E183" s="25" t="n"/>
      <c r="F183" s="25" t="n"/>
      <c r="G183" s="28">
        <f>D183-B183</f>
        <v/>
      </c>
      <c r="H183" s="10">
        <f>(D183/B183)-1</f>
        <v/>
      </c>
      <c r="I183" s="7" t="n"/>
      <c r="J183" s="1" t="n">
        <v>42822</v>
      </c>
      <c r="K183" s="25" t="n">
        <v>2913.48</v>
      </c>
      <c r="L183" s="1" t="n">
        <v>43187</v>
      </c>
      <c r="M183" s="25" t="n">
        <v>2780.04</v>
      </c>
      <c r="N183" s="26">
        <f>M183-K183</f>
        <v/>
      </c>
      <c r="O183" s="7">
        <f>(M183/K183)-1</f>
        <v/>
      </c>
      <c r="P183" s="4" t="n"/>
    </row>
    <row hidden="1" r="184" s="64" spans="1:23">
      <c r="A184" s="1" t="n">
        <v>42061</v>
      </c>
      <c r="B184" s="27" t="n">
        <v>2489.41</v>
      </c>
      <c r="C184" s="1" t="n">
        <v>42426</v>
      </c>
      <c r="D184" s="25" t="n">
        <v>3310.16</v>
      </c>
      <c r="E184" s="25" t="n"/>
      <c r="F184" s="25" t="n"/>
      <c r="G184" s="28">
        <f>D184-B184</f>
        <v/>
      </c>
      <c r="H184" s="10">
        <f>(D184/B184)-1</f>
        <v/>
      </c>
      <c r="I184" s="7" t="n"/>
      <c r="J184" s="1" t="n">
        <v>42822</v>
      </c>
      <c r="K184" s="25" t="n">
        <v>2913.48</v>
      </c>
      <c r="L184" s="1" t="n">
        <v>43187</v>
      </c>
      <c r="M184" s="25" t="n">
        <v>2780.04</v>
      </c>
      <c r="N184" s="26">
        <f>M184-K184</f>
        <v/>
      </c>
      <c r="O184" s="7">
        <f>(M184/K184)-1</f>
        <v/>
      </c>
      <c r="P184" s="4" t="n"/>
    </row>
    <row hidden="1" r="185" s="64" spans="1:23">
      <c r="A185" s="1" t="n">
        <v>42062</v>
      </c>
      <c r="B185" s="27" t="n">
        <v>2484.58</v>
      </c>
      <c r="C185" s="1" t="n">
        <v>42427</v>
      </c>
      <c r="D185" s="25" t="n">
        <v>3306</v>
      </c>
      <c r="E185" s="25" t="n"/>
      <c r="F185" s="25" t="n"/>
      <c r="G185" s="28">
        <f>D185-B185</f>
        <v/>
      </c>
      <c r="H185" s="10">
        <f>(D185/B185)-1</f>
        <v/>
      </c>
      <c r="I185" s="7" t="n"/>
      <c r="J185" s="1" t="n">
        <v>42822</v>
      </c>
      <c r="K185" s="25" t="n">
        <v>2913.48</v>
      </c>
      <c r="L185" s="1" t="n">
        <v>43187</v>
      </c>
      <c r="M185" s="25" t="n">
        <v>2780.04</v>
      </c>
      <c r="N185" s="26">
        <f>M185-K185</f>
        <v/>
      </c>
      <c r="O185" s="7">
        <f>(M185/K185)-1</f>
        <v/>
      </c>
      <c r="P185" s="4" t="n"/>
    </row>
    <row hidden="1" r="186" s="64" spans="1:23">
      <c r="A186" s="1" t="n">
        <v>42063</v>
      </c>
      <c r="B186" s="27" t="n">
        <v>2496.99</v>
      </c>
      <c r="C186" s="1" t="n">
        <v>42428</v>
      </c>
      <c r="D186" s="25" t="n">
        <v>3306</v>
      </c>
      <c r="E186" s="25" t="n"/>
      <c r="F186" s="25" t="n"/>
      <c r="G186" s="28">
        <f>D186-B186</f>
        <v/>
      </c>
      <c r="H186" s="10">
        <f>(D186/B186)-1</f>
        <v/>
      </c>
      <c r="I186" s="7" t="n"/>
      <c r="J186" s="1" t="n">
        <v>42822</v>
      </c>
      <c r="K186" s="25" t="n">
        <v>2913.48</v>
      </c>
      <c r="L186" s="1" t="n">
        <v>43187</v>
      </c>
      <c r="M186" s="25" t="n">
        <v>2780.04</v>
      </c>
      <c r="N186" s="26">
        <f>M186-K186</f>
        <v/>
      </c>
      <c r="O186" s="7">
        <f>(M186/K186)-1</f>
        <v/>
      </c>
      <c r="P186" s="4" t="n"/>
    </row>
    <row hidden="1" r="187" s="64" spans="1:23">
      <c r="A187" s="1" t="n">
        <v>42063</v>
      </c>
      <c r="B187" s="27" t="n">
        <v>2496.99</v>
      </c>
      <c r="C187" s="1" t="n">
        <v>42429</v>
      </c>
      <c r="D187" s="25" t="n">
        <v>3306</v>
      </c>
      <c r="E187" s="25" t="n"/>
      <c r="F187" s="25" t="n"/>
      <c r="G187" s="28">
        <f>D187-B187</f>
        <v/>
      </c>
      <c r="H187" s="10">
        <f>(D187/B187)-1</f>
        <v/>
      </c>
      <c r="I187" s="7" t="n"/>
      <c r="J187" s="1" t="n">
        <v>42822</v>
      </c>
      <c r="K187" s="25" t="n">
        <v>2913.48</v>
      </c>
      <c r="L187" s="1" t="n">
        <v>43187</v>
      </c>
      <c r="M187" s="25" t="n">
        <v>2780.04</v>
      </c>
      <c r="N187" s="26">
        <f>M187-K187</f>
        <v/>
      </c>
      <c r="O187" s="7">
        <f>(M187/K187)-1</f>
        <v/>
      </c>
      <c r="P187" s="4" t="n"/>
    </row>
    <row hidden="1" r="188" s="64" spans="1:23">
      <c r="A188" s="1" t="n">
        <v>42064</v>
      </c>
      <c r="B188" s="27" t="n">
        <v>2496.99</v>
      </c>
      <c r="C188" s="1" t="n">
        <v>42430</v>
      </c>
      <c r="D188" s="25" t="n">
        <v>3319.8</v>
      </c>
      <c r="E188" s="25" t="n"/>
      <c r="F188" s="25" t="n"/>
      <c r="G188" s="28">
        <f>D188-B188</f>
        <v/>
      </c>
      <c r="H188" s="10">
        <f>(D188/B188)-1</f>
        <v/>
      </c>
      <c r="I188" s="7" t="n"/>
      <c r="J188" s="1" t="n">
        <v>42822</v>
      </c>
      <c r="K188" s="25" t="n">
        <v>2913.48</v>
      </c>
      <c r="L188" s="1" t="n">
        <v>43187</v>
      </c>
      <c r="M188" s="25" t="n">
        <v>2780.04</v>
      </c>
      <c r="N188" s="26">
        <f>M188-K188</f>
        <v/>
      </c>
      <c r="O188" s="7">
        <f>(M188/K188)-1</f>
        <v/>
      </c>
      <c r="P188" s="4" t="n"/>
    </row>
    <row hidden="1" r="189" s="64" spans="1:23">
      <c r="A189" s="1" t="n">
        <v>42065</v>
      </c>
      <c r="B189" s="27" t="n">
        <v>2496.99</v>
      </c>
      <c r="C189" s="1" t="n">
        <v>42431</v>
      </c>
      <c r="D189" s="25" t="n">
        <v>3268.86</v>
      </c>
      <c r="E189" s="25" t="n"/>
      <c r="F189" s="25" t="n"/>
      <c r="G189" s="28">
        <f>D189-B189</f>
        <v/>
      </c>
      <c r="H189" s="10">
        <f>(D189/B189)-1</f>
        <v/>
      </c>
      <c r="I189" s="7" t="n"/>
      <c r="J189" s="1" t="n">
        <v>42822</v>
      </c>
      <c r="K189" s="25" t="n">
        <v>2913.48</v>
      </c>
      <c r="L189" s="1" t="n">
        <v>43187</v>
      </c>
      <c r="M189" s="25" t="n">
        <v>2780.04</v>
      </c>
      <c r="N189" s="26">
        <f>M189-K189</f>
        <v/>
      </c>
      <c r="O189" s="7">
        <f>(M189/K189)-1</f>
        <v/>
      </c>
      <c r="P189" s="4" t="n"/>
    </row>
    <row hidden="1" r="190" s="64" spans="1:23">
      <c r="A190" s="1" t="n">
        <v>42066</v>
      </c>
      <c r="B190" s="27" t="n">
        <v>2522.03</v>
      </c>
      <c r="C190" s="1" t="n">
        <v>42432</v>
      </c>
      <c r="D190" s="25" t="n">
        <v>3205.6</v>
      </c>
      <c r="E190" s="25" t="n"/>
      <c r="F190" s="25" t="n"/>
      <c r="G190" s="28">
        <f>D190-B190</f>
        <v/>
      </c>
      <c r="H190" s="10">
        <f>(D190/B190)-1</f>
        <v/>
      </c>
      <c r="I190" s="7" t="n"/>
      <c r="J190" s="1" t="n">
        <v>42822</v>
      </c>
      <c r="K190" s="25" t="n">
        <v>2913.48</v>
      </c>
      <c r="L190" s="1" t="n">
        <v>43187</v>
      </c>
      <c r="M190" s="25" t="n">
        <v>2780.04</v>
      </c>
      <c r="N190" s="26">
        <f>M190-K190</f>
        <v/>
      </c>
      <c r="O190" s="7">
        <f>(M190/K190)-1</f>
        <v/>
      </c>
      <c r="P190" s="4" t="n"/>
    </row>
    <row hidden="1" r="191" s="64" spans="1:23">
      <c r="A191" s="1" t="n">
        <v>42067</v>
      </c>
      <c r="B191" s="27" t="n">
        <v>2555.08</v>
      </c>
      <c r="C191" s="1" t="n">
        <v>42433</v>
      </c>
      <c r="D191" s="25" t="n">
        <v>3203.03</v>
      </c>
      <c r="E191" s="25" t="n"/>
      <c r="F191" s="25" t="n"/>
      <c r="G191" s="28">
        <f>D191-B191</f>
        <v/>
      </c>
      <c r="H191" s="10">
        <f>(D191/B191)-1</f>
        <v/>
      </c>
      <c r="I191" s="7" t="n"/>
      <c r="J191" s="1" t="n">
        <v>42822</v>
      </c>
      <c r="K191" s="25" t="n">
        <v>2913.48</v>
      </c>
      <c r="L191" s="1" t="n">
        <v>43187</v>
      </c>
      <c r="M191" s="25" t="n">
        <v>2780.04</v>
      </c>
      <c r="N191" s="26">
        <f>M191-K191</f>
        <v/>
      </c>
      <c r="O191" s="7">
        <f>(M191/K191)-1</f>
        <v/>
      </c>
      <c r="P191" s="4" t="n"/>
    </row>
    <row hidden="1" r="192" s="64" spans="1:23">
      <c r="A192" s="1" t="n">
        <v>42068</v>
      </c>
      <c r="B192" s="27" t="n">
        <v>2565.9</v>
      </c>
      <c r="C192" s="1" t="n">
        <v>42434</v>
      </c>
      <c r="D192" s="25" t="n">
        <v>3163.25</v>
      </c>
      <c r="E192" s="25" t="n"/>
      <c r="F192" s="25" t="n"/>
      <c r="G192" s="28">
        <f>D192-B192</f>
        <v/>
      </c>
      <c r="H192" s="10">
        <f>(D192/B192)-1</f>
        <v/>
      </c>
      <c r="I192" s="7" t="n"/>
      <c r="J192" s="1" t="n">
        <v>42822</v>
      </c>
      <c r="K192" s="25" t="n">
        <v>2913.48</v>
      </c>
      <c r="L192" s="1" t="n">
        <v>43187</v>
      </c>
      <c r="M192" s="25" t="n">
        <v>2780.04</v>
      </c>
      <c r="N192" s="26">
        <f>M192-K192</f>
        <v/>
      </c>
      <c r="O192" s="7">
        <f>(M192/K192)-1</f>
        <v/>
      </c>
      <c r="P192" s="4" t="n"/>
    </row>
    <row hidden="1" r="193" s="64" spans="1:23">
      <c r="A193" s="1" t="n">
        <v>42069</v>
      </c>
      <c r="B193" s="27" t="n">
        <v>2543.47</v>
      </c>
      <c r="C193" s="1" t="n">
        <v>42435</v>
      </c>
      <c r="D193" s="25" t="n">
        <v>3163.25</v>
      </c>
      <c r="E193" s="25" t="n"/>
      <c r="F193" s="25" t="n"/>
      <c r="G193" s="28">
        <f>D193-B193</f>
        <v/>
      </c>
      <c r="H193" s="10">
        <f>(D193/B193)-1</f>
        <v/>
      </c>
      <c r="I193" s="7" t="n"/>
      <c r="J193" s="1" t="n">
        <v>42822</v>
      </c>
      <c r="K193" s="25" t="n">
        <v>2913.48</v>
      </c>
      <c r="L193" s="1" t="n">
        <v>43187</v>
      </c>
      <c r="M193" s="25" t="n">
        <v>2780.04</v>
      </c>
      <c r="N193" s="26">
        <f>M193-K193</f>
        <v/>
      </c>
      <c r="O193" s="7">
        <f>(M193/K193)-1</f>
        <v/>
      </c>
      <c r="P193" s="4" t="n"/>
    </row>
    <row hidden="1" r="194" s="64" spans="1:23">
      <c r="A194" s="1" t="n">
        <v>42070</v>
      </c>
      <c r="B194" s="27" t="n">
        <v>2565.61</v>
      </c>
      <c r="C194" s="1" t="n">
        <v>42436</v>
      </c>
      <c r="D194" s="25" t="n">
        <v>3163.25</v>
      </c>
      <c r="E194" s="25" t="n"/>
      <c r="F194" s="25" t="n"/>
      <c r="G194" s="28">
        <f>D194-B194</f>
        <v/>
      </c>
      <c r="H194" s="10">
        <f>(D194/B194)-1</f>
        <v/>
      </c>
      <c r="I194" s="7" t="n"/>
      <c r="J194" s="1" t="n">
        <v>42822</v>
      </c>
      <c r="K194" s="25" t="n">
        <v>2913.48</v>
      </c>
      <c r="L194" s="1" t="n">
        <v>43187</v>
      </c>
      <c r="M194" s="25" t="n">
        <v>2780.04</v>
      </c>
      <c r="N194" s="26">
        <f>M194-K194</f>
        <v/>
      </c>
      <c r="O194" s="7">
        <f>(M194/K194)-1</f>
        <v/>
      </c>
      <c r="P194" s="4" t="n"/>
    </row>
    <row hidden="1" r="195" s="64" spans="1:23">
      <c r="A195" s="1" t="n">
        <v>42071</v>
      </c>
      <c r="B195" s="27" t="n">
        <v>2565.61</v>
      </c>
      <c r="C195" s="1" t="n">
        <v>42437</v>
      </c>
      <c r="D195" s="25" t="n">
        <v>3135.28</v>
      </c>
      <c r="E195" s="25" t="n"/>
      <c r="F195" s="25" t="n"/>
      <c r="G195" s="28">
        <f>D195-B195</f>
        <v/>
      </c>
      <c r="H195" s="10">
        <f>(D195/B195)-1</f>
        <v/>
      </c>
      <c r="I195" s="7" t="n"/>
      <c r="J195" s="1" t="n">
        <v>42822</v>
      </c>
      <c r="K195" s="25" t="n">
        <v>2913.48</v>
      </c>
      <c r="L195" s="1" t="n">
        <v>43187</v>
      </c>
      <c r="M195" s="25" t="n">
        <v>2780.04</v>
      </c>
      <c r="N195" s="26">
        <f>M195-K195</f>
        <v/>
      </c>
      <c r="O195" s="7">
        <f>(M195/K195)-1</f>
        <v/>
      </c>
      <c r="P195" s="4" t="n"/>
    </row>
    <row hidden="1" r="196" s="64" spans="1:23">
      <c r="A196" s="1" t="n">
        <v>42072</v>
      </c>
      <c r="B196" s="27" t="n">
        <v>2565.61</v>
      </c>
      <c r="C196" s="1" t="n">
        <v>42438</v>
      </c>
      <c r="D196" s="25" t="n">
        <v>3155.9</v>
      </c>
      <c r="E196" s="25" t="n"/>
      <c r="F196" s="25" t="n"/>
      <c r="G196" s="28">
        <f>D196-B196</f>
        <v/>
      </c>
      <c r="H196" s="10">
        <f>(D196/B196)-1</f>
        <v/>
      </c>
      <c r="I196" s="7" t="n"/>
      <c r="J196" s="1" t="n">
        <v>42822</v>
      </c>
      <c r="K196" s="25" t="n">
        <v>2913.48</v>
      </c>
      <c r="L196" s="1" t="n">
        <v>43187</v>
      </c>
      <c r="M196" s="25" t="n">
        <v>2780.04</v>
      </c>
      <c r="N196" s="26">
        <f>M196-K196</f>
        <v/>
      </c>
      <c r="O196" s="7">
        <f>(M196/K196)-1</f>
        <v/>
      </c>
      <c r="P196" s="4" t="n"/>
    </row>
    <row hidden="1" r="197" s="64" spans="1:23">
      <c r="A197" s="1" t="n">
        <v>42073</v>
      </c>
      <c r="B197" s="27" t="n">
        <v>2592.86</v>
      </c>
      <c r="C197" s="1" t="n">
        <v>42439</v>
      </c>
      <c r="D197" s="25" t="n">
        <v>3192.49</v>
      </c>
      <c r="E197" s="25" t="n"/>
      <c r="F197" s="25" t="n"/>
      <c r="G197" s="28">
        <f>D197-B197</f>
        <v/>
      </c>
      <c r="H197" s="10">
        <f>(D197/B197)-1</f>
        <v/>
      </c>
      <c r="I197" s="7" t="n"/>
      <c r="J197" s="1" t="n">
        <v>42822</v>
      </c>
      <c r="K197" s="25" t="n">
        <v>2913.48</v>
      </c>
      <c r="L197" s="1" t="n">
        <v>43187</v>
      </c>
      <c r="M197" s="25" t="n">
        <v>2780.04</v>
      </c>
      <c r="N197" s="26">
        <f>M197-K197</f>
        <v/>
      </c>
      <c r="O197" s="7">
        <f>(M197/K197)-1</f>
        <v/>
      </c>
      <c r="P197" s="4" t="n"/>
    </row>
    <row hidden="1" r="198" s="64" spans="1:23">
      <c r="A198" s="1" t="n">
        <v>42074</v>
      </c>
      <c r="B198" s="27" t="n">
        <v>2618.79</v>
      </c>
      <c r="C198" s="1" t="n">
        <v>42440</v>
      </c>
      <c r="D198" s="25" t="n">
        <v>3204.27</v>
      </c>
      <c r="E198" s="25" t="n"/>
      <c r="F198" s="25" t="n"/>
      <c r="G198" s="28">
        <f>D198-B198</f>
        <v/>
      </c>
      <c r="H198" s="10">
        <f>(D198/B198)-1</f>
        <v/>
      </c>
      <c r="I198" s="7" t="n"/>
      <c r="J198" s="1" t="n">
        <v>42822</v>
      </c>
      <c r="K198" s="25" t="n">
        <v>2913.48</v>
      </c>
      <c r="L198" s="1" t="n">
        <v>43187</v>
      </c>
      <c r="M198" s="25" t="n">
        <v>2780.04</v>
      </c>
      <c r="N198" s="26">
        <f>M198-K198</f>
        <v/>
      </c>
      <c r="O198" s="7">
        <f>(M198/K198)-1</f>
        <v/>
      </c>
      <c r="P198" s="4" t="n"/>
    </row>
    <row hidden="1" r="199" s="64" spans="1:23">
      <c r="A199" s="1" t="n">
        <v>42075</v>
      </c>
      <c r="B199" s="27" t="n">
        <v>2633.65</v>
      </c>
      <c r="C199" s="1" t="n">
        <v>42441</v>
      </c>
      <c r="D199" s="25" t="n">
        <v>3164.12</v>
      </c>
      <c r="E199" s="25" t="n"/>
      <c r="F199" s="25" t="n"/>
      <c r="G199" s="28">
        <f>D199-B199</f>
        <v/>
      </c>
      <c r="H199" s="10">
        <f>(D199/B199)-1</f>
        <v/>
      </c>
      <c r="I199" s="7" t="n"/>
      <c r="J199" s="1" t="n">
        <v>42822</v>
      </c>
      <c r="K199" s="25" t="n">
        <v>2913.48</v>
      </c>
      <c r="L199" s="1" t="n">
        <v>43187</v>
      </c>
      <c r="M199" s="25" t="n">
        <v>2780.04</v>
      </c>
      <c r="N199" s="26">
        <f>M199-K199</f>
        <v/>
      </c>
      <c r="O199" s="7">
        <f>(M199/K199)-1</f>
        <v/>
      </c>
      <c r="P199" s="4" t="n"/>
    </row>
    <row hidden="1" r="200" s="64" spans="1:23">
      <c r="A200" s="1" t="n">
        <v>42076</v>
      </c>
      <c r="B200" s="27" t="n">
        <v>2610.08</v>
      </c>
      <c r="C200" s="1" t="n">
        <v>42442</v>
      </c>
      <c r="D200" s="25" t="n">
        <v>3164.12</v>
      </c>
      <c r="E200" s="25" t="n"/>
      <c r="F200" s="25" t="n"/>
      <c r="G200" s="28">
        <f>D200-B200</f>
        <v/>
      </c>
      <c r="H200" s="10">
        <f>(D200/B200)-1</f>
        <v/>
      </c>
      <c r="I200" s="7" t="n"/>
      <c r="J200" s="1" t="n">
        <v>42822</v>
      </c>
      <c r="K200" s="25" t="n">
        <v>2913.48</v>
      </c>
      <c r="L200" s="1" t="n">
        <v>43187</v>
      </c>
      <c r="M200" s="25" t="n">
        <v>2780.04</v>
      </c>
      <c r="N200" s="26">
        <f>M200-K200</f>
        <v/>
      </c>
      <c r="O200" s="7">
        <f>(M200/K200)-1</f>
        <v/>
      </c>
      <c r="P200" s="4" t="n"/>
    </row>
    <row hidden="1" r="201" s="64" spans="1:23">
      <c r="A201" s="1" t="n">
        <v>42077</v>
      </c>
      <c r="B201" s="27" t="n">
        <v>2661.52</v>
      </c>
      <c r="C201" s="1" t="n">
        <v>42443</v>
      </c>
      <c r="D201" s="25" t="n">
        <v>3164.12</v>
      </c>
      <c r="E201" s="25" t="n"/>
      <c r="F201" s="25" t="n"/>
      <c r="G201" s="28">
        <f>D201-B201</f>
        <v/>
      </c>
      <c r="H201" s="10">
        <f>(D201/B201)-1</f>
        <v/>
      </c>
      <c r="I201" s="7" t="n"/>
      <c r="J201" s="1" t="n">
        <v>42822</v>
      </c>
      <c r="K201" s="25" t="n">
        <v>2913.48</v>
      </c>
      <c r="L201" s="1" t="n">
        <v>43187</v>
      </c>
      <c r="M201" s="25" t="n">
        <v>2780.04</v>
      </c>
      <c r="N201" s="26">
        <f>M201-K201</f>
        <v/>
      </c>
      <c r="O201" s="7">
        <f>(M201/K201)-1</f>
        <v/>
      </c>
      <c r="P201" s="4" t="n"/>
    </row>
    <row hidden="1" r="202" s="64" spans="1:23">
      <c r="A202" s="1" t="n">
        <v>42078</v>
      </c>
      <c r="B202" s="27" t="n">
        <v>2661.52</v>
      </c>
      <c r="C202" s="1" t="n">
        <v>42444</v>
      </c>
      <c r="D202" s="25" t="n">
        <v>3175.95</v>
      </c>
      <c r="E202" s="25" t="n"/>
      <c r="F202" s="25" t="n"/>
      <c r="G202" s="28">
        <f>D202-B202</f>
        <v/>
      </c>
      <c r="H202" s="10">
        <f>(D202/B202)-1</f>
        <v/>
      </c>
      <c r="I202" s="7" t="n"/>
      <c r="J202" s="1" t="n">
        <v>42822</v>
      </c>
      <c r="K202" s="25" t="n">
        <v>2913.48</v>
      </c>
      <c r="L202" s="1" t="n">
        <v>43187</v>
      </c>
      <c r="M202" s="25" t="n">
        <v>2780.04</v>
      </c>
      <c r="N202" s="26">
        <f>M202-K202</f>
        <v/>
      </c>
      <c r="O202" s="7">
        <f>(M202/K202)-1</f>
        <v/>
      </c>
      <c r="P202" s="4" t="n"/>
    </row>
    <row hidden="1" r="203" s="64" spans="1:23">
      <c r="A203" s="1" t="n">
        <v>42079</v>
      </c>
      <c r="B203" s="27" t="n">
        <v>2661.52</v>
      </c>
      <c r="C203" s="1" t="n">
        <v>42445</v>
      </c>
      <c r="D203" s="25" t="n">
        <v>3175.88</v>
      </c>
      <c r="E203" s="25" t="n"/>
      <c r="F203" s="25" t="n"/>
      <c r="G203" s="28">
        <f>D203-B203</f>
        <v/>
      </c>
      <c r="H203" s="10">
        <f>(D203/B203)-1</f>
        <v/>
      </c>
      <c r="I203" s="7" t="n"/>
      <c r="J203" s="1" t="n">
        <v>42822</v>
      </c>
      <c r="K203" s="25" t="n">
        <v>2913.48</v>
      </c>
      <c r="L203" s="1" t="n">
        <v>43187</v>
      </c>
      <c r="M203" s="25" t="n">
        <v>2780.04</v>
      </c>
      <c r="N203" s="26">
        <f>M203-K203</f>
        <v/>
      </c>
      <c r="O203" s="7">
        <f>(M203/K203)-1</f>
        <v/>
      </c>
      <c r="P203" s="4" t="n"/>
    </row>
    <row hidden="1" r="204" s="64" spans="1:23">
      <c r="A204" s="1" t="n">
        <v>42080</v>
      </c>
      <c r="B204" s="27" t="n">
        <v>2675.08</v>
      </c>
      <c r="C204" s="1" t="n">
        <v>42446</v>
      </c>
      <c r="D204" s="25" t="n">
        <v>3155.9</v>
      </c>
      <c r="E204" s="25" t="n"/>
      <c r="F204" s="25" t="n"/>
      <c r="G204" s="28">
        <f>D204-B204</f>
        <v/>
      </c>
      <c r="H204" s="10">
        <f>(D204/B204)-1</f>
        <v/>
      </c>
      <c r="I204" s="7" t="n"/>
      <c r="J204" s="1" t="n">
        <v>42822</v>
      </c>
      <c r="K204" s="25" t="n">
        <v>2913.48</v>
      </c>
      <c r="L204" s="1" t="n">
        <v>43187</v>
      </c>
      <c r="M204" s="25" t="n">
        <v>2780.04</v>
      </c>
      <c r="N204" s="26">
        <f>M204-K204</f>
        <v/>
      </c>
      <c r="O204" s="7">
        <f>(M204/K204)-1</f>
        <v/>
      </c>
      <c r="P204" s="4" t="n"/>
    </row>
    <row hidden="1" r="205" s="64" spans="1:23">
      <c r="A205" s="1" t="n">
        <v>42081</v>
      </c>
      <c r="B205" s="27" t="n">
        <v>2677.97</v>
      </c>
      <c r="C205" s="1" t="n">
        <v>42447</v>
      </c>
      <c r="D205" s="25" t="n">
        <v>3087.39</v>
      </c>
      <c r="E205" s="25" t="n"/>
      <c r="F205" s="25" t="n"/>
      <c r="G205" s="28">
        <f>D205-B205</f>
        <v/>
      </c>
      <c r="H205" s="10">
        <f>(D205/B205)-1</f>
        <v/>
      </c>
      <c r="I205" s="7" t="n"/>
      <c r="J205" s="1" t="n">
        <v>42822</v>
      </c>
      <c r="K205" s="25" t="n">
        <v>2913.48</v>
      </c>
      <c r="L205" s="1" t="n">
        <v>43187</v>
      </c>
      <c r="M205" s="25" t="n">
        <v>2780.04</v>
      </c>
      <c r="N205" s="26">
        <f>M205-K205</f>
        <v/>
      </c>
      <c r="O205" s="7">
        <f>(M205/K205)-1</f>
        <v/>
      </c>
      <c r="P205" s="4" t="n"/>
    </row>
    <row hidden="1" r="206" s="64" spans="1:23">
      <c r="A206" s="1" t="n">
        <v>42082</v>
      </c>
      <c r="B206" s="27" t="n">
        <v>2651.49</v>
      </c>
      <c r="C206" s="1" t="n">
        <v>42448</v>
      </c>
      <c r="D206" s="25" t="n">
        <v>3065.79</v>
      </c>
      <c r="E206" s="25" t="n"/>
      <c r="F206" s="25" t="n"/>
      <c r="G206" s="28">
        <f>D206-B206</f>
        <v/>
      </c>
      <c r="H206" s="10">
        <f>(D206/B206)-1</f>
        <v/>
      </c>
      <c r="I206" s="7" t="n"/>
      <c r="J206" s="1" t="n">
        <v>42822</v>
      </c>
      <c r="K206" s="25" t="n">
        <v>2913.48</v>
      </c>
      <c r="L206" s="1" t="n">
        <v>43187</v>
      </c>
      <c r="M206" s="25" t="n">
        <v>2780.04</v>
      </c>
      <c r="N206" s="26">
        <f>M206-K206</f>
        <v/>
      </c>
      <c r="O206" s="7">
        <f>(M206/K206)-1</f>
        <v/>
      </c>
      <c r="P206" s="4" t="n"/>
    </row>
    <row hidden="1" r="207" s="64" spans="1:23">
      <c r="A207" s="1" t="n">
        <v>42083</v>
      </c>
      <c r="B207" s="27" t="n">
        <v>2613.38</v>
      </c>
      <c r="C207" s="1" t="n">
        <v>42449</v>
      </c>
      <c r="D207" s="25" t="n">
        <v>3065.79</v>
      </c>
      <c r="E207" s="25" t="n"/>
      <c r="F207" s="25" t="n"/>
      <c r="G207" s="28">
        <f>D207-B207</f>
        <v/>
      </c>
      <c r="H207" s="10">
        <f>(D207/B207)-1</f>
        <v/>
      </c>
      <c r="I207" s="7" t="n"/>
      <c r="J207" s="1" t="n">
        <v>42822</v>
      </c>
      <c r="K207" s="25" t="n">
        <v>2913.48</v>
      </c>
      <c r="L207" s="1" t="n">
        <v>43187</v>
      </c>
      <c r="M207" s="25" t="n">
        <v>2780.04</v>
      </c>
      <c r="N207" s="26">
        <f>M207-K207</f>
        <v/>
      </c>
      <c r="O207" s="7">
        <f>(M207/K207)-1</f>
        <v/>
      </c>
      <c r="P207" s="4" t="n"/>
    </row>
    <row hidden="1" r="208" s="64" spans="1:23">
      <c r="A208" s="1" t="n">
        <v>42084</v>
      </c>
      <c r="B208" s="27" t="n">
        <v>2587.71</v>
      </c>
      <c r="C208" s="1" t="n">
        <v>42450</v>
      </c>
      <c r="D208" s="25" t="n">
        <v>3065.79</v>
      </c>
      <c r="E208" s="25" t="n"/>
      <c r="F208" s="25" t="n"/>
      <c r="G208" s="28">
        <f>D208-B208</f>
        <v/>
      </c>
      <c r="H208" s="10">
        <f>(D208/B208)-1</f>
        <v/>
      </c>
      <c r="I208" s="7" t="n"/>
      <c r="J208" s="1" t="n">
        <v>42822</v>
      </c>
      <c r="K208" s="25" t="n">
        <v>2913.48</v>
      </c>
      <c r="L208" s="1" t="n">
        <v>43187</v>
      </c>
      <c r="M208" s="25" t="n">
        <v>2780.04</v>
      </c>
      <c r="N208" s="26">
        <f>M208-K208</f>
        <v/>
      </c>
      <c r="O208" s="7">
        <f>(M208/K208)-1</f>
        <v/>
      </c>
      <c r="P208" s="4" t="n"/>
    </row>
    <row hidden="1" r="209" s="64" spans="1:23">
      <c r="A209" s="1" t="n">
        <v>42085</v>
      </c>
      <c r="B209" s="27" t="n">
        <v>2587.71</v>
      </c>
      <c r="C209" s="1" t="n">
        <v>42451</v>
      </c>
      <c r="D209" s="25" t="n">
        <v>3065.79</v>
      </c>
      <c r="E209" s="25" t="n"/>
      <c r="F209" s="25" t="n"/>
      <c r="G209" s="28">
        <f>D209-B209</f>
        <v/>
      </c>
      <c r="H209" s="10">
        <f>(D209/B209)-1</f>
        <v/>
      </c>
      <c r="I209" s="7" t="n"/>
      <c r="J209" s="1" t="n">
        <v>42822</v>
      </c>
      <c r="K209" s="25" t="n">
        <v>2913.48</v>
      </c>
      <c r="L209" s="1" t="n">
        <v>43187</v>
      </c>
      <c r="M209" s="25" t="n">
        <v>2780.04</v>
      </c>
      <c r="N209" s="26">
        <f>M209-K209</f>
        <v/>
      </c>
      <c r="O209" s="7">
        <f>(M209/K209)-1</f>
        <v/>
      </c>
      <c r="P209" s="4" t="n"/>
    </row>
    <row hidden="1" r="210" s="64" spans="1:23">
      <c r="A210" s="1" t="n">
        <v>42086</v>
      </c>
      <c r="B210" s="27" t="n">
        <v>2587.71</v>
      </c>
      <c r="C210" s="1" t="n">
        <v>42452</v>
      </c>
      <c r="D210" s="25" t="n">
        <v>3050.31</v>
      </c>
      <c r="E210" s="25" t="n"/>
      <c r="F210" s="25" t="n"/>
      <c r="G210" s="28">
        <f>D210-B210</f>
        <v/>
      </c>
      <c r="H210" s="10">
        <f>(D210/B210)-1</f>
        <v/>
      </c>
      <c r="I210" s="7" t="n"/>
      <c r="J210" s="1" t="n">
        <v>42822</v>
      </c>
      <c r="K210" s="25" t="n">
        <v>2913.48</v>
      </c>
      <c r="L210" s="1" t="n">
        <v>43187</v>
      </c>
      <c r="M210" s="25" t="n">
        <v>2780.04</v>
      </c>
      <c r="N210" s="26">
        <f>M210-K210</f>
        <v/>
      </c>
      <c r="O210" s="7">
        <f>(M210/K210)-1</f>
        <v/>
      </c>
      <c r="P210" s="4" t="n"/>
    </row>
    <row hidden="1" r="211" s="64" spans="1:23">
      <c r="A211" s="1" t="n">
        <v>42087</v>
      </c>
      <c r="B211" s="27" t="n">
        <v>2587.71</v>
      </c>
      <c r="C211" s="1" t="n">
        <v>42453</v>
      </c>
      <c r="D211" s="25" t="n">
        <v>3058.8</v>
      </c>
      <c r="E211" s="25" t="n"/>
      <c r="F211" s="25" t="n"/>
      <c r="G211" s="28">
        <f>D211-B211</f>
        <v/>
      </c>
      <c r="H211" s="10">
        <f>(D211/B211)-1</f>
        <v/>
      </c>
      <c r="I211" s="7" t="n"/>
      <c r="J211" s="1" t="n">
        <v>42822</v>
      </c>
      <c r="K211" s="25" t="n">
        <v>2913.48</v>
      </c>
      <c r="L211" s="1" t="n">
        <v>43187</v>
      </c>
      <c r="M211" s="25" t="n">
        <v>2780.04</v>
      </c>
      <c r="N211" s="26">
        <f>M211-K211</f>
        <v/>
      </c>
      <c r="O211" s="7">
        <f>(M211/K211)-1</f>
        <v/>
      </c>
      <c r="P211" s="4" t="n"/>
    </row>
    <row hidden="1" r="212" s="64" spans="1:23">
      <c r="A212" s="1" t="n">
        <v>42088</v>
      </c>
      <c r="B212" s="27" t="n">
        <v>2526.79</v>
      </c>
      <c r="C212" s="1" t="n">
        <v>42454</v>
      </c>
      <c r="D212" s="25" t="n">
        <v>3058.8</v>
      </c>
      <c r="E212" s="25" t="n"/>
      <c r="F212" s="25" t="n"/>
      <c r="G212" s="28">
        <f>D212-B212</f>
        <v/>
      </c>
      <c r="H212" s="10">
        <f>(D212/B212)-1</f>
        <v/>
      </c>
      <c r="I212" s="7" t="n"/>
      <c r="J212" s="1" t="n">
        <v>42822</v>
      </c>
      <c r="K212" s="25" t="n">
        <v>2913.48</v>
      </c>
      <c r="L212" s="1" t="n">
        <v>43187</v>
      </c>
      <c r="M212" s="25" t="n">
        <v>2780.04</v>
      </c>
      <c r="N212" s="26">
        <f>M212-K212</f>
        <v/>
      </c>
      <c r="O212" s="7">
        <f>(M212/K212)-1</f>
        <v/>
      </c>
      <c r="P212" s="4" t="n"/>
    </row>
    <row hidden="1" r="213" s="64" spans="1:23">
      <c r="A213" s="1" t="n">
        <v>42089</v>
      </c>
      <c r="B213" s="27" t="n">
        <v>2535.55</v>
      </c>
      <c r="C213" s="1" t="n">
        <v>42455</v>
      </c>
      <c r="D213" s="25" t="n">
        <v>3058.8</v>
      </c>
      <c r="E213" s="25" t="n"/>
      <c r="F213" s="25" t="n"/>
      <c r="G213" s="28">
        <f>D213-B213</f>
        <v/>
      </c>
      <c r="H213" s="10">
        <f>(D213/B213)-1</f>
        <v/>
      </c>
      <c r="I213" s="7" t="n"/>
      <c r="J213" s="1" t="n">
        <v>42822</v>
      </c>
      <c r="K213" s="25" t="n">
        <v>2913.48</v>
      </c>
      <c r="L213" s="1" t="n">
        <v>43187</v>
      </c>
      <c r="M213" s="25" t="n">
        <v>2780.04</v>
      </c>
      <c r="N213" s="26">
        <f>M213-K213</f>
        <v/>
      </c>
      <c r="O213" s="7">
        <f>(M213/K213)-1</f>
        <v/>
      </c>
      <c r="P213" s="4" t="n"/>
    </row>
    <row hidden="1" r="214" s="64" spans="1:23">
      <c r="A214" s="1" t="n">
        <v>42090</v>
      </c>
      <c r="B214" s="27" t="n">
        <v>2551.3</v>
      </c>
      <c r="C214" s="1" t="n">
        <v>42456</v>
      </c>
      <c r="D214" s="25" t="n">
        <v>3058.8</v>
      </c>
      <c r="E214" s="25" t="n"/>
      <c r="F214" s="25" t="n"/>
      <c r="G214" s="28">
        <f>D214-B214</f>
        <v/>
      </c>
      <c r="H214" s="10">
        <f>(D214/B214)-1</f>
        <v/>
      </c>
      <c r="I214" s="7" t="n"/>
      <c r="J214" s="1" t="n">
        <v>42822</v>
      </c>
      <c r="K214" s="25" t="n">
        <v>2913.48</v>
      </c>
      <c r="L214" s="1" t="n">
        <v>43187</v>
      </c>
      <c r="M214" s="25" t="n">
        <v>2780.04</v>
      </c>
      <c r="N214" s="26">
        <f>M214-K214</f>
        <v/>
      </c>
      <c r="O214" s="7">
        <f>(M214/K214)-1</f>
        <v/>
      </c>
      <c r="P214" s="4" t="n"/>
    </row>
    <row hidden="1" r="215" s="64" spans="1:23">
      <c r="A215" s="1" t="n">
        <v>42091</v>
      </c>
      <c r="B215" s="27" t="n">
        <v>2556.85</v>
      </c>
      <c r="C215" s="1" t="n">
        <v>42457</v>
      </c>
      <c r="D215" s="25" t="n">
        <v>3058.8</v>
      </c>
      <c r="E215" s="25" t="n"/>
      <c r="F215" s="25" t="n"/>
      <c r="G215" s="28">
        <f>D215-B215</f>
        <v/>
      </c>
      <c r="H215" s="10">
        <f>(D215/B215)-1</f>
        <v/>
      </c>
      <c r="I215" s="7" t="n"/>
      <c r="J215" s="1" t="n">
        <v>42822</v>
      </c>
      <c r="K215" s="25" t="n">
        <v>2913.48</v>
      </c>
      <c r="L215" s="1" t="n">
        <v>43187</v>
      </c>
      <c r="M215" s="25" t="n">
        <v>2780.04</v>
      </c>
      <c r="N215" s="26">
        <f>M215-K215</f>
        <v/>
      </c>
      <c r="O215" s="7">
        <f>(M215/K215)-1</f>
        <v/>
      </c>
      <c r="P215" s="4" t="n"/>
    </row>
    <row hidden="1" r="216" s="64" spans="1:23">
      <c r="A216" s="1" t="n">
        <v>42092</v>
      </c>
      <c r="B216" s="27" t="n">
        <v>2556.85</v>
      </c>
      <c r="C216" s="1" t="n">
        <v>42458</v>
      </c>
      <c r="D216" s="25" t="n">
        <v>3047.85</v>
      </c>
      <c r="E216" s="25" t="n"/>
      <c r="F216" s="25" t="n"/>
      <c r="G216" s="28">
        <f>D216-B216</f>
        <v/>
      </c>
      <c r="H216" s="10">
        <f>(D216/B216)-1</f>
        <v/>
      </c>
      <c r="I216" s="7" t="n"/>
      <c r="J216" s="1" t="n">
        <v>42822</v>
      </c>
      <c r="K216" s="25" t="n">
        <v>2913.48</v>
      </c>
      <c r="L216" s="1" t="n">
        <v>43187</v>
      </c>
      <c r="M216" s="25" t="n">
        <v>2780.04</v>
      </c>
      <c r="N216" s="26">
        <f>M216-K216</f>
        <v/>
      </c>
      <c r="O216" s="7">
        <f>(M216/K216)-1</f>
        <v/>
      </c>
      <c r="P216" s="4" t="n"/>
    </row>
    <row hidden="1" r="217" s="64" spans="1:23">
      <c r="A217" s="1" t="n">
        <v>42093</v>
      </c>
      <c r="B217" s="27" t="n">
        <v>2556.85</v>
      </c>
      <c r="C217" s="1" t="n">
        <v>42459</v>
      </c>
      <c r="D217" s="25" t="n">
        <v>3052.33</v>
      </c>
      <c r="E217" s="25" t="n"/>
      <c r="F217" s="25" t="n"/>
      <c r="G217" s="28">
        <f>D217-B217</f>
        <v/>
      </c>
      <c r="H217" s="10">
        <f>(D217/B217)-1</f>
        <v/>
      </c>
      <c r="I217" s="7" t="n"/>
      <c r="J217" s="1" t="n">
        <v>42822</v>
      </c>
      <c r="K217" s="25" t="n">
        <v>2913.48</v>
      </c>
      <c r="L217" s="1" t="n">
        <v>43187</v>
      </c>
      <c r="M217" s="25" t="n">
        <v>2780.04</v>
      </c>
      <c r="N217" s="26">
        <f>M217-K217</f>
        <v/>
      </c>
      <c r="O217" s="7">
        <f>(M217/K217)-1</f>
        <v/>
      </c>
      <c r="P217" s="4" t="n"/>
    </row>
    <row hidden="1" r="218" s="64" spans="1:23">
      <c r="A218" s="1" t="n">
        <v>42094</v>
      </c>
      <c r="B218" s="27" t="n">
        <v>2576.05</v>
      </c>
      <c r="C218" s="1" t="n">
        <v>42460</v>
      </c>
      <c r="D218" s="25" t="n">
        <v>3022.35</v>
      </c>
      <c r="E218" s="25" t="n"/>
      <c r="F218" s="25" t="n"/>
      <c r="G218" s="28">
        <f>D218-B218</f>
        <v/>
      </c>
      <c r="H218" s="10">
        <f>(D218/B218)-1</f>
        <v/>
      </c>
      <c r="I218" s="7" t="n"/>
      <c r="J218" s="1" t="n">
        <v>42822</v>
      </c>
      <c r="K218" s="25" t="n">
        <v>2913.48</v>
      </c>
      <c r="L218" s="1" t="n">
        <v>43187</v>
      </c>
      <c r="M218" s="25" t="n">
        <v>2780.04</v>
      </c>
      <c r="N218" s="26">
        <f>M218-K218</f>
        <v/>
      </c>
      <c r="O218" s="7">
        <f>(M218/K218)-1</f>
        <v/>
      </c>
      <c r="P218" s="4" t="n"/>
    </row>
    <row hidden="1" r="219" s="64" spans="1:23">
      <c r="A219" s="1" t="n">
        <v>42095</v>
      </c>
      <c r="B219" s="27" t="n">
        <v>2598.36</v>
      </c>
      <c r="C219" s="1" t="n">
        <v>42461</v>
      </c>
      <c r="D219" s="25" t="n">
        <v>3000.63</v>
      </c>
      <c r="E219" s="25" t="n"/>
      <c r="F219" s="25" t="n"/>
      <c r="G219" s="28">
        <f>D219-B219</f>
        <v/>
      </c>
      <c r="H219" s="10">
        <f>(D219/B219)-1</f>
        <v/>
      </c>
      <c r="I219" s="7" t="n"/>
      <c r="J219" s="1" t="n">
        <v>42822</v>
      </c>
      <c r="K219" s="25" t="n">
        <v>2913.48</v>
      </c>
      <c r="L219" s="1" t="n">
        <v>43187</v>
      </c>
      <c r="M219" s="25" t="n">
        <v>2780.04</v>
      </c>
      <c r="N219" s="26">
        <f>M219-K219</f>
        <v/>
      </c>
      <c r="O219" s="7">
        <f>(M219/K219)-1</f>
        <v/>
      </c>
      <c r="P219" s="4" t="n"/>
    </row>
    <row hidden="1" r="220" s="64" spans="1:23">
      <c r="A220" s="1" t="n">
        <v>42096</v>
      </c>
      <c r="B220" s="27" t="n">
        <v>2576.41</v>
      </c>
      <c r="C220" s="1" t="n">
        <v>42462</v>
      </c>
      <c r="D220" s="25" t="n">
        <v>3038.48</v>
      </c>
      <c r="E220" s="25" t="n"/>
      <c r="F220" s="25" t="n"/>
      <c r="G220" s="28">
        <f>D220-B220</f>
        <v/>
      </c>
      <c r="H220" s="10">
        <f>(D220/B220)-1</f>
        <v/>
      </c>
      <c r="I220" s="7" t="n"/>
      <c r="J220" s="1" t="n">
        <v>42822</v>
      </c>
      <c r="K220" s="25" t="n">
        <v>2913.48</v>
      </c>
      <c r="L220" s="1" t="n">
        <v>43187</v>
      </c>
      <c r="M220" s="25" t="n">
        <v>2780.04</v>
      </c>
      <c r="N220" s="26">
        <f>M220-K220</f>
        <v/>
      </c>
      <c r="O220" s="7">
        <f>(M220/K220)-1</f>
        <v/>
      </c>
      <c r="P220" s="4" t="n"/>
    </row>
    <row hidden="1" r="221" s="64" spans="1:23">
      <c r="A221" s="1" t="n">
        <v>42097</v>
      </c>
      <c r="B221" s="27" t="n">
        <v>2576.41</v>
      </c>
      <c r="C221" s="1" t="n">
        <v>42463</v>
      </c>
      <c r="D221" s="25" t="n">
        <v>3038.48</v>
      </c>
      <c r="E221" s="25" t="n"/>
      <c r="F221" s="25" t="n"/>
      <c r="G221" s="28">
        <f>D221-B221</f>
        <v/>
      </c>
      <c r="H221" s="10">
        <f>(D221/B221)-1</f>
        <v/>
      </c>
      <c r="I221" s="7" t="n"/>
      <c r="J221" s="1" t="n">
        <v>42822</v>
      </c>
      <c r="K221" s="25" t="n">
        <v>2913.48</v>
      </c>
      <c r="L221" s="1" t="n">
        <v>43187</v>
      </c>
      <c r="M221" s="25" t="n">
        <v>2780.04</v>
      </c>
      <c r="N221" s="26">
        <f>M221-K221</f>
        <v/>
      </c>
      <c r="O221" s="7">
        <f>(M221/K221)-1</f>
        <v/>
      </c>
      <c r="P221" s="4" t="n"/>
    </row>
    <row hidden="1" r="222" s="64" spans="1:23">
      <c r="A222" s="1" t="n">
        <v>42098</v>
      </c>
      <c r="B222" s="27" t="n">
        <v>2576.41</v>
      </c>
      <c r="C222" s="1" t="n">
        <v>42464</v>
      </c>
      <c r="D222" s="25" t="n">
        <v>3038.48</v>
      </c>
      <c r="E222" s="25" t="n"/>
      <c r="F222" s="25" t="n"/>
      <c r="G222" s="28">
        <f>D222-B222</f>
        <v/>
      </c>
      <c r="H222" s="10">
        <f>(D222/B222)-1</f>
        <v/>
      </c>
      <c r="I222" s="7" t="n"/>
      <c r="J222" s="1" t="n">
        <v>42822</v>
      </c>
      <c r="K222" s="25" t="n">
        <v>2913.48</v>
      </c>
      <c r="L222" s="1" t="n">
        <v>43187</v>
      </c>
      <c r="M222" s="25" t="n">
        <v>2780.04</v>
      </c>
      <c r="N222" s="26">
        <f>M222-K222</f>
        <v/>
      </c>
      <c r="O222" s="7">
        <f>(M222/K222)-1</f>
        <v/>
      </c>
      <c r="P222" s="4" t="n"/>
    </row>
    <row hidden="1" r="223" s="64" spans="1:23">
      <c r="A223" s="1" t="n">
        <v>42099</v>
      </c>
      <c r="B223" s="27" t="n">
        <v>2576.41</v>
      </c>
      <c r="C223" s="1" t="n">
        <v>42465</v>
      </c>
      <c r="D223" s="25" t="n">
        <v>3066.94</v>
      </c>
      <c r="E223" s="25" t="n"/>
      <c r="F223" s="25" t="n"/>
      <c r="G223" s="28">
        <f>D223-B223</f>
        <v/>
      </c>
      <c r="H223" s="10">
        <f>(D223/B223)-1</f>
        <v/>
      </c>
      <c r="I223" s="7" t="n"/>
      <c r="J223" s="1" t="n">
        <v>42822</v>
      </c>
      <c r="K223" s="25" t="n">
        <v>2913.48</v>
      </c>
      <c r="L223" s="1" t="n">
        <v>43187</v>
      </c>
      <c r="M223" s="25" t="n">
        <v>2780.04</v>
      </c>
      <c r="N223" s="26">
        <f>M223-K223</f>
        <v/>
      </c>
      <c r="O223" s="7">
        <f>(M223/K223)-1</f>
        <v/>
      </c>
      <c r="P223" s="4" t="n"/>
    </row>
    <row hidden="1" r="224" s="64" spans="1:23">
      <c r="A224" s="1" t="n">
        <v>42100</v>
      </c>
      <c r="B224" s="27" t="n">
        <v>2576.41</v>
      </c>
      <c r="C224" s="1" t="n">
        <v>42466</v>
      </c>
      <c r="D224" s="25" t="n">
        <v>3085.52</v>
      </c>
      <c r="E224" s="25" t="n"/>
      <c r="F224" s="25" t="n"/>
      <c r="G224" s="28">
        <f>D224-B224</f>
        <v/>
      </c>
      <c r="H224" s="10">
        <f>(D224/B224)-1</f>
        <v/>
      </c>
      <c r="I224" s="7" t="n"/>
      <c r="J224" s="1" t="n">
        <v>42822</v>
      </c>
      <c r="K224" s="25" t="n">
        <v>2913.48</v>
      </c>
      <c r="L224" s="1" t="n">
        <v>43187</v>
      </c>
      <c r="M224" s="25" t="n">
        <v>2780.04</v>
      </c>
      <c r="N224" s="26">
        <f>M224-K224</f>
        <v/>
      </c>
      <c r="O224" s="7">
        <f>(M224/K224)-1</f>
        <v/>
      </c>
      <c r="P224" s="4" t="n"/>
    </row>
    <row hidden="1" r="225" s="64" spans="1:23">
      <c r="A225" s="1" t="n">
        <v>42101</v>
      </c>
      <c r="B225" s="27" t="n">
        <v>2522.71</v>
      </c>
      <c r="C225" s="1" t="n">
        <v>42467</v>
      </c>
      <c r="D225" s="25" t="n">
        <v>3081.39</v>
      </c>
      <c r="E225" s="25" t="n"/>
      <c r="F225" s="25" t="n"/>
      <c r="G225" s="28">
        <f>D225-B225</f>
        <v/>
      </c>
      <c r="H225" s="10">
        <f>(D225/B225)-1</f>
        <v/>
      </c>
      <c r="I225" s="7" t="n"/>
      <c r="J225" s="1" t="n">
        <v>42822</v>
      </c>
      <c r="K225" s="25" t="n">
        <v>2913.48</v>
      </c>
      <c r="L225" s="1" t="n">
        <v>43187</v>
      </c>
      <c r="M225" s="25" t="n">
        <v>2780.04</v>
      </c>
      <c r="N225" s="26">
        <f>M225-K225</f>
        <v/>
      </c>
      <c r="O225" s="7">
        <f>(M225/K225)-1</f>
        <v/>
      </c>
      <c r="P225" s="4" t="n"/>
    </row>
    <row hidden="1" r="226" s="64" spans="1:23">
      <c r="A226" s="1" t="n">
        <v>42102</v>
      </c>
      <c r="B226" s="27" t="n">
        <v>2518.05</v>
      </c>
      <c r="C226" s="1" t="n">
        <v>42468</v>
      </c>
      <c r="D226" s="25" t="n">
        <v>3109.6</v>
      </c>
      <c r="E226" s="25" t="n"/>
      <c r="F226" s="25" t="n"/>
      <c r="G226" s="28">
        <f>D226-B226</f>
        <v/>
      </c>
      <c r="H226" s="10">
        <f>(D226/B226)-1</f>
        <v/>
      </c>
      <c r="I226" s="7" t="n"/>
      <c r="J226" s="1" t="n">
        <v>42822</v>
      </c>
      <c r="K226" s="25" t="n">
        <v>2913.48</v>
      </c>
      <c r="L226" s="1" t="n">
        <v>43187</v>
      </c>
      <c r="M226" s="25" t="n">
        <v>2780.04</v>
      </c>
      <c r="N226" s="26">
        <f>M226-K226</f>
        <v/>
      </c>
      <c r="O226" s="7">
        <f>(M226/K226)-1</f>
        <v/>
      </c>
      <c r="P226" s="4" t="n"/>
    </row>
    <row hidden="1" r="227" s="64" spans="1:23">
      <c r="A227" s="1" t="n">
        <v>42103</v>
      </c>
      <c r="B227" s="27" t="n">
        <v>2490.9</v>
      </c>
      <c r="C227" s="1" t="n">
        <v>42469</v>
      </c>
      <c r="D227" s="25" t="n">
        <v>3076.29</v>
      </c>
      <c r="E227" s="25" t="n"/>
      <c r="F227" s="25" t="n"/>
      <c r="G227" s="28">
        <f>D227-B227</f>
        <v/>
      </c>
      <c r="H227" s="10">
        <f>(D227/B227)-1</f>
        <v/>
      </c>
      <c r="I227" s="7" t="n"/>
      <c r="J227" s="1" t="n">
        <v>42822</v>
      </c>
      <c r="K227" s="25" t="n">
        <v>2913.48</v>
      </c>
      <c r="L227" s="1" t="n">
        <v>43187</v>
      </c>
      <c r="M227" s="25" t="n">
        <v>2780.04</v>
      </c>
      <c r="N227" s="26">
        <f>M227-K227</f>
        <v/>
      </c>
      <c r="O227" s="7">
        <f>(M227/K227)-1</f>
        <v/>
      </c>
      <c r="P227" s="4" t="n"/>
    </row>
    <row hidden="1" r="228" s="64" spans="1:23">
      <c r="A228" s="1" t="n">
        <v>42104</v>
      </c>
      <c r="B228" s="27" t="n">
        <v>2494.77</v>
      </c>
      <c r="C228" s="1" t="n">
        <v>42470</v>
      </c>
      <c r="D228" s="25" t="n">
        <v>3076.29</v>
      </c>
      <c r="E228" s="25" t="n"/>
      <c r="F228" s="25" t="n"/>
      <c r="G228" s="28">
        <f>D228-B228</f>
        <v/>
      </c>
      <c r="H228" s="10">
        <f>(D228/B228)-1</f>
        <v/>
      </c>
      <c r="I228" s="7" t="n"/>
      <c r="J228" s="1" t="n">
        <v>42822</v>
      </c>
      <c r="K228" s="25" t="n">
        <v>2913.48</v>
      </c>
      <c r="L228" s="1" t="n">
        <v>43187</v>
      </c>
      <c r="M228" s="25" t="n">
        <v>2780.04</v>
      </c>
      <c r="N228" s="26">
        <f>M228-K228</f>
        <v/>
      </c>
      <c r="O228" s="7">
        <f>(M228/K228)-1</f>
        <v/>
      </c>
      <c r="P228" s="4" t="n"/>
    </row>
    <row hidden="1" r="229" s="64" spans="1:23">
      <c r="A229" s="1" t="n">
        <v>42105</v>
      </c>
      <c r="B229" s="27" t="n">
        <v>2516.08</v>
      </c>
      <c r="C229" s="1" t="n">
        <v>42471</v>
      </c>
      <c r="D229" s="25" t="n">
        <v>3076.29</v>
      </c>
      <c r="E229" s="25" t="n"/>
      <c r="F229" s="25" t="n"/>
      <c r="G229" s="28">
        <f>D229-B229</f>
        <v/>
      </c>
      <c r="H229" s="10">
        <f>(D229/B229)-1</f>
        <v/>
      </c>
      <c r="I229" s="7" t="n"/>
      <c r="J229" s="1" t="n">
        <v>42822</v>
      </c>
      <c r="K229" s="25" t="n">
        <v>2913.48</v>
      </c>
      <c r="L229" s="1" t="n">
        <v>43187</v>
      </c>
      <c r="M229" s="25" t="n">
        <v>2780.04</v>
      </c>
      <c r="N229" s="26">
        <f>M229-K229</f>
        <v/>
      </c>
      <c r="O229" s="7">
        <f>(M229/K229)-1</f>
        <v/>
      </c>
      <c r="P229" s="4" t="n"/>
    </row>
    <row hidden="1" r="230" s="64" spans="1:23">
      <c r="A230" s="1" t="n">
        <v>42106</v>
      </c>
      <c r="B230" s="27" t="n">
        <v>2516.08</v>
      </c>
      <c r="C230" s="1" t="n">
        <v>42472</v>
      </c>
      <c r="D230" s="25" t="n">
        <v>3057.96</v>
      </c>
      <c r="E230" s="25" t="n"/>
      <c r="F230" s="25" t="n"/>
      <c r="G230" s="28">
        <f>D230-B230</f>
        <v/>
      </c>
      <c r="H230" s="10">
        <f>(D230/B230)-1</f>
        <v/>
      </c>
      <c r="I230" s="7" t="n"/>
      <c r="J230" s="1" t="n">
        <v>42822</v>
      </c>
      <c r="K230" s="25" t="n">
        <v>2913.48</v>
      </c>
      <c r="L230" s="1" t="n">
        <v>43187</v>
      </c>
      <c r="M230" s="25" t="n">
        <v>2780.04</v>
      </c>
      <c r="N230" s="26">
        <f>M230-K230</f>
        <v/>
      </c>
      <c r="O230" s="7">
        <f>(M230/K230)-1</f>
        <v/>
      </c>
      <c r="P230" s="4" t="n"/>
    </row>
    <row hidden="1" r="231" s="64" spans="1:23">
      <c r="A231" s="1" t="n">
        <v>42107</v>
      </c>
      <c r="B231" s="27" t="n">
        <v>2516.08</v>
      </c>
      <c r="C231" s="1" t="n">
        <v>42473</v>
      </c>
      <c r="D231" s="25" t="n">
        <v>3036.57</v>
      </c>
      <c r="E231" s="25" t="n"/>
      <c r="F231" s="25" t="n"/>
      <c r="G231" s="28">
        <f>D231-B231</f>
        <v/>
      </c>
      <c r="H231" s="10">
        <f>(D231/B231)-1</f>
        <v/>
      </c>
      <c r="I231" s="7" t="n"/>
      <c r="J231" s="1" t="n">
        <v>42822</v>
      </c>
      <c r="K231" s="25" t="n">
        <v>2913.48</v>
      </c>
      <c r="L231" s="1" t="n">
        <v>43187</v>
      </c>
      <c r="M231" s="25" t="n">
        <v>2780.04</v>
      </c>
      <c r="N231" s="26">
        <f>M231-K231</f>
        <v/>
      </c>
      <c r="O231" s="7">
        <f>(M231/K231)-1</f>
        <v/>
      </c>
      <c r="P231" s="4" t="n"/>
    </row>
    <row hidden="1" r="232" s="64" spans="1:23">
      <c r="A232" s="1" t="n">
        <v>42108</v>
      </c>
      <c r="B232" s="27" t="n">
        <v>2537.33</v>
      </c>
      <c r="C232" s="1" t="n">
        <v>42474</v>
      </c>
      <c r="D232" s="25" t="n">
        <v>3006.35</v>
      </c>
      <c r="E232" s="25" t="n"/>
      <c r="F232" s="25" t="n"/>
      <c r="G232" s="28">
        <f>D232-B232</f>
        <v/>
      </c>
      <c r="H232" s="10">
        <f>(D232/B232)-1</f>
        <v/>
      </c>
      <c r="I232" s="7" t="n"/>
      <c r="J232" s="1" t="n">
        <v>42822</v>
      </c>
      <c r="K232" s="25" t="n">
        <v>2913.48</v>
      </c>
      <c r="L232" s="1" t="n">
        <v>43187</v>
      </c>
      <c r="M232" s="25" t="n">
        <v>2780.04</v>
      </c>
      <c r="N232" s="26">
        <f>M232-K232</f>
        <v/>
      </c>
      <c r="O232" s="7">
        <f>(M232/K232)-1</f>
        <v/>
      </c>
      <c r="P232" s="4" t="n"/>
    </row>
    <row hidden="1" r="233" s="64" spans="1:23">
      <c r="A233" s="1" t="n">
        <v>42109</v>
      </c>
      <c r="B233" s="27" t="n">
        <v>2550.83</v>
      </c>
      <c r="C233" s="1" t="n">
        <v>42475</v>
      </c>
      <c r="D233" s="25" t="n">
        <v>3000.78</v>
      </c>
      <c r="E233" s="25" t="n"/>
      <c r="F233" s="25" t="n"/>
      <c r="G233" s="28">
        <f>D233-B233</f>
        <v/>
      </c>
      <c r="H233" s="10">
        <f>(D233/B233)-1</f>
        <v/>
      </c>
      <c r="I233" s="7" t="n"/>
      <c r="J233" s="1" t="n">
        <v>42822</v>
      </c>
      <c r="K233" s="25" t="n">
        <v>2913.48</v>
      </c>
      <c r="L233" s="1" t="n">
        <v>43187</v>
      </c>
      <c r="M233" s="25" t="n">
        <v>2780.04</v>
      </c>
      <c r="N233" s="26">
        <f>M233-K233</f>
        <v/>
      </c>
      <c r="O233" s="7">
        <f>(M233/K233)-1</f>
        <v/>
      </c>
      <c r="P233" s="4" t="n"/>
    </row>
    <row hidden="1" r="234" s="64" spans="1:23">
      <c r="A234" s="1" t="n">
        <v>42110</v>
      </c>
      <c r="B234" s="27" t="n">
        <v>2534.63</v>
      </c>
      <c r="C234" s="1" t="n">
        <v>42476</v>
      </c>
      <c r="D234" s="25" t="n">
        <v>2999.38</v>
      </c>
      <c r="E234" s="25" t="n"/>
      <c r="F234" s="25" t="n"/>
      <c r="G234" s="28">
        <f>D234-B234</f>
        <v/>
      </c>
      <c r="H234" s="10">
        <f>(D234/B234)-1</f>
        <v/>
      </c>
      <c r="I234" s="7" t="n"/>
      <c r="J234" s="1" t="n">
        <v>42822</v>
      </c>
      <c r="K234" s="25" t="n">
        <v>2913.48</v>
      </c>
      <c r="L234" s="1" t="n">
        <v>43187</v>
      </c>
      <c r="M234" s="25" t="n">
        <v>2780.04</v>
      </c>
      <c r="N234" s="26">
        <f>M234-K234</f>
        <v/>
      </c>
      <c r="O234" s="7">
        <f>(M234/K234)-1</f>
        <v/>
      </c>
      <c r="P234" s="4" t="n"/>
    </row>
    <row hidden="1" r="235" s="64" spans="1:23">
      <c r="A235" s="1" t="n">
        <v>42111</v>
      </c>
      <c r="B235" s="27" t="n">
        <v>2493.93</v>
      </c>
      <c r="C235" s="1" t="n">
        <v>42477</v>
      </c>
      <c r="D235" s="25" t="n">
        <v>2999.38</v>
      </c>
      <c r="E235" s="25" t="n"/>
      <c r="F235" s="25" t="n"/>
      <c r="G235" s="28">
        <f>D235-B235</f>
        <v/>
      </c>
      <c r="H235" s="10">
        <f>(D235/B235)-1</f>
        <v/>
      </c>
      <c r="I235" s="7" t="n"/>
      <c r="J235" s="1" t="n">
        <v>42822</v>
      </c>
      <c r="K235" s="25" t="n">
        <v>2913.48</v>
      </c>
      <c r="L235" s="1" t="n">
        <v>43187</v>
      </c>
      <c r="M235" s="25" t="n">
        <v>2780.04</v>
      </c>
      <c r="N235" s="26">
        <f>M235-K235</f>
        <v/>
      </c>
      <c r="O235" s="7">
        <f>(M235/K235)-1</f>
        <v/>
      </c>
      <c r="P235" s="4" t="n"/>
    </row>
    <row hidden="1" r="236" s="64" spans="1:23">
      <c r="A236" s="1" t="n">
        <v>42112</v>
      </c>
      <c r="B236" s="27" t="n">
        <v>2495.01</v>
      </c>
      <c r="C236" s="1" t="n">
        <v>42478</v>
      </c>
      <c r="D236" s="25" t="n">
        <v>2999.38</v>
      </c>
      <c r="E236" s="25" t="n"/>
      <c r="F236" s="25" t="n"/>
      <c r="G236" s="28">
        <f>D236-B236</f>
        <v/>
      </c>
      <c r="H236" s="10">
        <f>(D236/B236)-1</f>
        <v/>
      </c>
      <c r="I236" s="7" t="n"/>
      <c r="J236" s="1" t="n">
        <v>42822</v>
      </c>
      <c r="K236" s="25" t="n">
        <v>2913.48</v>
      </c>
      <c r="L236" s="1" t="n">
        <v>43187</v>
      </c>
      <c r="M236" s="25" t="n">
        <v>2780.04</v>
      </c>
      <c r="N236" s="26">
        <f>M236-K236</f>
        <v/>
      </c>
      <c r="O236" s="7">
        <f>(M236/K236)-1</f>
        <v/>
      </c>
      <c r="P236" s="4" t="n"/>
    </row>
    <row hidden="1" r="237" s="64" spans="1:23">
      <c r="A237" s="1" t="n">
        <v>42113</v>
      </c>
      <c r="B237" s="27" t="n">
        <v>2495.01</v>
      </c>
      <c r="C237" s="1" t="n">
        <v>42479</v>
      </c>
      <c r="D237" s="25" t="n">
        <v>2995.86</v>
      </c>
      <c r="E237" s="25" t="n"/>
      <c r="F237" s="25" t="n"/>
      <c r="G237" s="28">
        <f>D237-B237</f>
        <v/>
      </c>
      <c r="H237" s="10">
        <f>(D237/B237)-1</f>
        <v/>
      </c>
      <c r="I237" s="7" t="n"/>
      <c r="J237" s="1" t="n">
        <v>42822</v>
      </c>
      <c r="K237" s="25" t="n">
        <v>2913.48</v>
      </c>
      <c r="L237" s="1" t="n">
        <v>43187</v>
      </c>
      <c r="M237" s="25" t="n">
        <v>2780.04</v>
      </c>
      <c r="N237" s="26">
        <f>M237-K237</f>
        <v/>
      </c>
      <c r="O237" s="7">
        <f>(M237/K237)-1</f>
        <v/>
      </c>
      <c r="P237" s="4" t="n"/>
    </row>
    <row hidden="1" r="238" s="64" spans="1:23">
      <c r="A238" s="1" t="n">
        <v>42114</v>
      </c>
      <c r="B238" s="27" t="n">
        <v>2495.01</v>
      </c>
      <c r="C238" s="1" t="n">
        <v>42480</v>
      </c>
      <c r="D238" s="25" t="n">
        <v>2912.2</v>
      </c>
      <c r="E238" s="25" t="n"/>
      <c r="F238" s="25" t="n"/>
      <c r="G238" s="28">
        <f>D238-B238</f>
        <v/>
      </c>
      <c r="H238" s="10">
        <f>(D238/B238)-1</f>
        <v/>
      </c>
      <c r="I238" s="7" t="n"/>
      <c r="J238" s="1" t="n">
        <v>42822</v>
      </c>
      <c r="K238" s="25" t="n">
        <v>2913.48</v>
      </c>
      <c r="L238" s="1" t="n">
        <v>43187</v>
      </c>
      <c r="M238" s="25" t="n">
        <v>2780.04</v>
      </c>
      <c r="N238" s="26">
        <f>M238-K238</f>
        <v/>
      </c>
      <c r="O238" s="7">
        <f>(M238/K238)-1</f>
        <v/>
      </c>
      <c r="P238" s="4" t="n"/>
    </row>
    <row hidden="1" r="239" s="64" spans="1:23">
      <c r="A239" s="1" t="n">
        <v>42115</v>
      </c>
      <c r="B239" s="27" t="n">
        <v>2487.07</v>
      </c>
      <c r="C239" s="1" t="n">
        <v>42481</v>
      </c>
      <c r="D239" s="25" t="n">
        <v>2899.92</v>
      </c>
      <c r="E239" s="25" t="n"/>
      <c r="F239" s="25" t="n"/>
      <c r="G239" s="28">
        <f>D239-B239</f>
        <v/>
      </c>
      <c r="H239" s="10">
        <f>(D239/B239)-1</f>
        <v/>
      </c>
      <c r="I239" s="7" t="n"/>
      <c r="J239" s="1" t="n">
        <v>42822</v>
      </c>
      <c r="K239" s="25" t="n">
        <v>2913.48</v>
      </c>
      <c r="L239" s="1" t="n">
        <v>43187</v>
      </c>
      <c r="M239" s="25" t="n">
        <v>2780.04</v>
      </c>
      <c r="N239" s="26">
        <f>M239-K239</f>
        <v/>
      </c>
      <c r="O239" s="7">
        <f>(M239/K239)-1</f>
        <v/>
      </c>
      <c r="P239" s="4" t="n"/>
    </row>
    <row hidden="1" r="240" s="64" spans="1:23">
      <c r="A240" s="1" t="n">
        <v>42116</v>
      </c>
      <c r="B240" s="27" t="n">
        <v>2469.03</v>
      </c>
      <c r="C240" s="1" t="n">
        <v>42482</v>
      </c>
      <c r="D240" s="25" t="n">
        <v>2928.7</v>
      </c>
      <c r="E240" s="25" t="n"/>
      <c r="F240" s="25" t="n"/>
      <c r="G240" s="28">
        <f>D240-B240</f>
        <v/>
      </c>
      <c r="H240" s="10">
        <f>(D240/B240)-1</f>
        <v/>
      </c>
      <c r="I240" s="7" t="n"/>
      <c r="J240" s="1" t="n">
        <v>42822</v>
      </c>
      <c r="K240" s="25" t="n">
        <v>2913.48</v>
      </c>
      <c r="L240" s="1" t="n">
        <v>43187</v>
      </c>
      <c r="M240" s="25" t="n">
        <v>2780.04</v>
      </c>
      <c r="N240" s="26">
        <f>M240-K240</f>
        <v/>
      </c>
      <c r="O240" s="7">
        <f>(M240/K240)-1</f>
        <v/>
      </c>
      <c r="P240" s="4" t="n"/>
    </row>
    <row hidden="1" r="241" s="64" spans="1:23">
      <c r="A241" s="1" t="n">
        <v>42117</v>
      </c>
      <c r="B241" s="27" t="n">
        <v>2488.5</v>
      </c>
      <c r="C241" s="1" t="n">
        <v>42483</v>
      </c>
      <c r="D241" s="25" t="n">
        <v>2939.7</v>
      </c>
      <c r="E241" s="25" t="n"/>
      <c r="F241" s="25" t="n"/>
      <c r="G241" s="28">
        <f>D241-B241</f>
        <v/>
      </c>
      <c r="H241" s="10">
        <f>(D241/B241)-1</f>
        <v/>
      </c>
      <c r="I241" s="7" t="n"/>
      <c r="J241" s="1" t="n">
        <v>42822</v>
      </c>
      <c r="K241" s="25" t="n">
        <v>2913.48</v>
      </c>
      <c r="L241" s="1" t="n">
        <v>43187</v>
      </c>
      <c r="M241" s="25" t="n">
        <v>2780.04</v>
      </c>
      <c r="N241" s="26">
        <f>M241-K241</f>
        <v/>
      </c>
      <c r="O241" s="7">
        <f>(M241/K241)-1</f>
        <v/>
      </c>
      <c r="P241" s="4" t="n"/>
    </row>
    <row hidden="1" r="242" s="64" spans="1:23">
      <c r="A242" s="1" t="n">
        <v>42118</v>
      </c>
      <c r="B242" s="27" t="n">
        <v>2471.21</v>
      </c>
      <c r="C242" s="1" t="n">
        <v>42484</v>
      </c>
      <c r="D242" s="25" t="n">
        <v>2939.7</v>
      </c>
      <c r="E242" s="25" t="n"/>
      <c r="F242" s="25" t="n"/>
      <c r="G242" s="28">
        <f>D242-B242</f>
        <v/>
      </c>
      <c r="H242" s="10">
        <f>(D242/B242)-1</f>
        <v/>
      </c>
      <c r="I242" s="7" t="n"/>
      <c r="J242" s="1" t="n">
        <v>42822</v>
      </c>
      <c r="K242" s="25" t="n">
        <v>2913.48</v>
      </c>
      <c r="L242" s="1" t="n">
        <v>43187</v>
      </c>
      <c r="M242" s="25" t="n">
        <v>2780.04</v>
      </c>
      <c r="N242" s="26">
        <f>M242-K242</f>
        <v/>
      </c>
      <c r="O242" s="7">
        <f>(M242/K242)-1</f>
        <v/>
      </c>
      <c r="P242" s="4" t="n"/>
    </row>
    <row hidden="1" r="243" s="64" spans="1:23">
      <c r="A243" s="1" t="n">
        <v>42119</v>
      </c>
      <c r="B243" s="27" t="n">
        <v>2461.17</v>
      </c>
      <c r="C243" s="1" t="n">
        <v>42485</v>
      </c>
      <c r="D243" s="25" t="n">
        <v>2939.7</v>
      </c>
      <c r="E243" s="25" t="n"/>
      <c r="F243" s="25" t="n"/>
      <c r="G243" s="28">
        <f>D243-B243</f>
        <v/>
      </c>
      <c r="H243" s="10">
        <f>(D243/B243)-1</f>
        <v/>
      </c>
      <c r="I243" s="7" t="n"/>
      <c r="J243" s="1" t="n">
        <v>42822</v>
      </c>
      <c r="K243" s="25" t="n">
        <v>2913.48</v>
      </c>
      <c r="L243" s="1" t="n">
        <v>43187</v>
      </c>
      <c r="M243" s="25" t="n">
        <v>2780.04</v>
      </c>
      <c r="N243" s="26">
        <f>M243-K243</f>
        <v/>
      </c>
      <c r="O243" s="7">
        <f>(M243/K243)-1</f>
        <v/>
      </c>
      <c r="P243" s="4" t="n"/>
    </row>
    <row hidden="1" r="244" s="64" spans="1:23">
      <c r="A244" s="1" t="n">
        <v>42120</v>
      </c>
      <c r="B244" s="27" t="n">
        <v>2461.17</v>
      </c>
      <c r="C244" s="1" t="n">
        <v>42486</v>
      </c>
      <c r="D244" s="25" t="n">
        <v>2962.08</v>
      </c>
      <c r="E244" s="25" t="n"/>
      <c r="F244" s="25" t="n"/>
      <c r="G244" s="28">
        <f>D244-B244</f>
        <v/>
      </c>
      <c r="H244" s="10">
        <f>(D244/B244)-1</f>
        <v/>
      </c>
      <c r="I244" s="7" t="n"/>
      <c r="J244" s="1" t="n">
        <v>42822</v>
      </c>
      <c r="K244" s="25" t="n">
        <v>2913.48</v>
      </c>
      <c r="L244" s="1" t="n">
        <v>43187</v>
      </c>
      <c r="M244" s="25" t="n">
        <v>2780.04</v>
      </c>
      <c r="N244" s="26">
        <f>M244-K244</f>
        <v/>
      </c>
      <c r="O244" s="7">
        <f>(M244/K244)-1</f>
        <v/>
      </c>
      <c r="P244" s="4" t="n"/>
    </row>
    <row hidden="1" r="245" s="64" spans="1:23">
      <c r="A245" s="1" t="n">
        <v>42121</v>
      </c>
      <c r="B245" s="27" t="n">
        <v>2461.17</v>
      </c>
      <c r="C245" s="1" t="n">
        <v>42487</v>
      </c>
      <c r="D245" s="25" t="n">
        <v>2945.37</v>
      </c>
      <c r="E245" s="25" t="n"/>
      <c r="F245" s="25" t="n"/>
      <c r="G245" s="28">
        <f>D245-B245</f>
        <v/>
      </c>
      <c r="H245" s="10">
        <f>(D245/B245)-1</f>
        <v/>
      </c>
      <c r="I245" s="7" t="n"/>
      <c r="J245" s="1" t="n">
        <v>42822</v>
      </c>
      <c r="K245" s="25" t="n">
        <v>2913.48</v>
      </c>
      <c r="L245" s="1" t="n">
        <v>43187</v>
      </c>
      <c r="M245" s="25" t="n">
        <v>2780.04</v>
      </c>
      <c r="N245" s="26">
        <f>M245-K245</f>
        <v/>
      </c>
      <c r="O245" s="7">
        <f>(M245/K245)-1</f>
        <v/>
      </c>
      <c r="P245" s="4" t="n"/>
    </row>
    <row hidden="1" r="246" s="64" spans="1:23">
      <c r="A246" s="1" t="n">
        <v>42122</v>
      </c>
      <c r="B246" s="27" t="n">
        <v>2419.81</v>
      </c>
      <c r="C246" s="1" t="n">
        <v>42488</v>
      </c>
      <c r="D246" s="25" t="n">
        <v>2943.23</v>
      </c>
      <c r="E246" s="25" t="n"/>
      <c r="F246" s="25" t="n"/>
      <c r="G246" s="28">
        <f>D246-B246</f>
        <v/>
      </c>
      <c r="H246" s="10">
        <f>(D246/B246)-1</f>
        <v/>
      </c>
      <c r="I246" s="7" t="n"/>
      <c r="J246" s="1" t="n">
        <v>42822</v>
      </c>
      <c r="K246" s="25" t="n">
        <v>2913.48</v>
      </c>
      <c r="L246" s="1" t="n">
        <v>43187</v>
      </c>
      <c r="M246" s="25" t="n">
        <v>2780.04</v>
      </c>
      <c r="N246" s="26">
        <f>M246-K246</f>
        <v/>
      </c>
      <c r="O246" s="7">
        <f>(M246/K246)-1</f>
        <v/>
      </c>
      <c r="P246" s="4" t="n"/>
    </row>
    <row hidden="1" r="247" s="64" spans="1:23">
      <c r="A247" s="1" t="n">
        <v>42123</v>
      </c>
      <c r="B247" s="27" t="n">
        <v>2393.42</v>
      </c>
      <c r="C247" s="1" t="n">
        <v>42489</v>
      </c>
      <c r="D247" s="25" t="n">
        <v>2885.72</v>
      </c>
      <c r="E247" s="25" t="n"/>
      <c r="F247" s="25" t="n"/>
      <c r="G247" s="28">
        <f>D247-B247</f>
        <v/>
      </c>
      <c r="H247" s="10">
        <f>(D247/B247)-1</f>
        <v/>
      </c>
      <c r="I247" s="7" t="n"/>
      <c r="J247" s="1" t="n">
        <v>42822</v>
      </c>
      <c r="K247" s="25" t="n">
        <v>2913.48</v>
      </c>
      <c r="L247" s="1" t="n">
        <v>43187</v>
      </c>
      <c r="M247" s="25" t="n">
        <v>2780.04</v>
      </c>
      <c r="N247" s="26">
        <f>M247-K247</f>
        <v/>
      </c>
      <c r="O247" s="7">
        <f>(M247/K247)-1</f>
        <v/>
      </c>
      <c r="P247" s="4" t="n"/>
    </row>
    <row hidden="1" r="248" s="64" spans="1:23">
      <c r="A248" s="1" t="n">
        <v>42124</v>
      </c>
      <c r="B248" s="27" t="n">
        <v>2388.06</v>
      </c>
      <c r="C248" s="1" t="n">
        <v>42490</v>
      </c>
      <c r="D248" s="25" t="n">
        <v>2851.14</v>
      </c>
      <c r="E248" s="25" t="n"/>
      <c r="F248" s="25" t="n"/>
      <c r="G248" s="28">
        <f>D248-B248</f>
        <v/>
      </c>
      <c r="H248" s="10">
        <f>(D248/B248)-1</f>
        <v/>
      </c>
      <c r="I248" s="7" t="n"/>
      <c r="J248" s="1" t="n">
        <v>42822</v>
      </c>
      <c r="K248" s="25" t="n">
        <v>2913.48</v>
      </c>
      <c r="L248" s="1" t="n">
        <v>43187</v>
      </c>
      <c r="M248" s="25" t="n">
        <v>2780.04</v>
      </c>
      <c r="N248" s="26">
        <f>M248-K248</f>
        <v/>
      </c>
      <c r="O248" s="7">
        <f>(M248/K248)-1</f>
        <v/>
      </c>
      <c r="P248" s="4" t="n"/>
    </row>
    <row hidden="1" r="249" s="64" spans="1:23">
      <c r="A249" s="1" t="n">
        <v>42125</v>
      </c>
      <c r="B249" s="27" t="n">
        <v>2393.58</v>
      </c>
      <c r="C249" s="1" t="n">
        <v>42491</v>
      </c>
      <c r="D249" s="25" t="n">
        <v>2851.14</v>
      </c>
      <c r="E249" s="25" t="n"/>
      <c r="F249" s="25" t="n"/>
      <c r="G249" s="28">
        <f>D249-B249</f>
        <v/>
      </c>
      <c r="H249" s="10">
        <f>(D249/B249)-1</f>
        <v/>
      </c>
      <c r="I249" s="7" t="n"/>
      <c r="J249" s="1" t="n">
        <v>42822</v>
      </c>
      <c r="K249" s="25" t="n">
        <v>2913.48</v>
      </c>
      <c r="L249" s="1" t="n">
        <v>43187</v>
      </c>
      <c r="M249" s="25" t="n">
        <v>2780.04</v>
      </c>
      <c r="N249" s="26">
        <f>M249-K249</f>
        <v/>
      </c>
      <c r="O249" s="7">
        <f>(M249/K249)-1</f>
        <v/>
      </c>
      <c r="P249" s="4" t="n"/>
    </row>
    <row hidden="1" r="250" s="64" spans="1:23">
      <c r="A250" s="1" t="n">
        <v>42126</v>
      </c>
      <c r="B250" s="27" t="n">
        <v>2393.58</v>
      </c>
      <c r="C250" s="1" t="n">
        <v>42492</v>
      </c>
      <c r="D250" s="25" t="n">
        <v>2851.14</v>
      </c>
      <c r="E250" s="25" t="n"/>
      <c r="F250" s="25" t="n"/>
      <c r="G250" s="28">
        <f>D250-B250</f>
        <v/>
      </c>
      <c r="H250" s="10">
        <f>(D250/B250)-1</f>
        <v/>
      </c>
      <c r="I250" s="7" t="n"/>
      <c r="J250" s="1" t="n">
        <v>42822</v>
      </c>
      <c r="K250" s="25" t="n">
        <v>2913.48</v>
      </c>
      <c r="L250" s="1" t="n">
        <v>43187</v>
      </c>
      <c r="M250" s="25" t="n">
        <v>2780.04</v>
      </c>
      <c r="N250" s="26">
        <f>M250-K250</f>
        <v/>
      </c>
      <c r="O250" s="7">
        <f>(M250/K250)-1</f>
        <v/>
      </c>
      <c r="P250" s="4" t="n"/>
    </row>
    <row hidden="1" r="251" s="64" spans="1:23">
      <c r="A251" s="1" t="n">
        <v>42127</v>
      </c>
      <c r="B251" s="27" t="n">
        <v>2393.58</v>
      </c>
      <c r="C251" s="1" t="n">
        <v>42493</v>
      </c>
      <c r="D251" s="25" t="n">
        <v>2833.78</v>
      </c>
      <c r="E251" s="25" t="n"/>
      <c r="F251" s="25" t="n"/>
      <c r="G251" s="28">
        <f>D251-B251</f>
        <v/>
      </c>
      <c r="H251" s="10">
        <f>(D251/B251)-1</f>
        <v/>
      </c>
      <c r="I251" s="7" t="n"/>
      <c r="J251" s="1" t="n">
        <v>42822</v>
      </c>
      <c r="K251" s="25" t="n">
        <v>2913.48</v>
      </c>
      <c r="L251" s="1" t="n">
        <v>43187</v>
      </c>
      <c r="M251" s="25" t="n">
        <v>2780.04</v>
      </c>
      <c r="N251" s="26">
        <f>M251-K251</f>
        <v/>
      </c>
      <c r="O251" s="7">
        <f>(M251/K251)-1</f>
        <v/>
      </c>
      <c r="P251" s="4" t="n"/>
    </row>
    <row hidden="1" r="252" s="64" spans="1:23">
      <c r="A252" s="1" t="n">
        <v>42128</v>
      </c>
      <c r="B252" s="27" t="n">
        <v>2393.58</v>
      </c>
      <c r="C252" s="1" t="n">
        <v>42494</v>
      </c>
      <c r="D252" s="25" t="n">
        <v>2895.51</v>
      </c>
      <c r="E252" s="25" t="n"/>
      <c r="F252" s="25" t="n"/>
      <c r="G252" s="28">
        <f>D252-B252</f>
        <v/>
      </c>
      <c r="H252" s="10">
        <f>(D252/B252)-1</f>
        <v/>
      </c>
      <c r="I252" s="7" t="n"/>
      <c r="J252" s="1" t="n">
        <v>42822</v>
      </c>
      <c r="K252" s="25" t="n">
        <v>2913.48</v>
      </c>
      <c r="L252" s="1" t="n">
        <v>43187</v>
      </c>
      <c r="M252" s="25" t="n">
        <v>2780.04</v>
      </c>
      <c r="N252" s="26">
        <f>M252-K252</f>
        <v/>
      </c>
      <c r="O252" s="7">
        <f>(M252/K252)-1</f>
        <v/>
      </c>
      <c r="P252" s="4" t="n"/>
    </row>
    <row hidden="1" r="253" s="64" spans="1:23">
      <c r="A253" s="1" t="n">
        <v>42129</v>
      </c>
      <c r="B253" s="27" t="n">
        <v>2408.17</v>
      </c>
      <c r="C253" s="1" t="n">
        <v>42495</v>
      </c>
      <c r="D253" s="25" t="n">
        <v>2942.16</v>
      </c>
      <c r="E253" s="25" t="n"/>
      <c r="F253" s="25" t="n"/>
      <c r="G253" s="28">
        <f>D253-B253</f>
        <v/>
      </c>
      <c r="H253" s="10">
        <f>(D253/B253)-1</f>
        <v/>
      </c>
      <c r="I253" s="7" t="n"/>
      <c r="J253" s="1" t="n">
        <v>42822</v>
      </c>
      <c r="K253" s="25" t="n">
        <v>2913.48</v>
      </c>
      <c r="L253" s="1" t="n">
        <v>43187</v>
      </c>
      <c r="M253" s="25" t="n">
        <v>2780.04</v>
      </c>
      <c r="N253" s="26">
        <f>M253-K253</f>
        <v/>
      </c>
      <c r="O253" s="7">
        <f>(M253/K253)-1</f>
        <v/>
      </c>
      <c r="P253" s="4" t="n"/>
    </row>
    <row hidden="1" r="254" s="64" spans="1:23">
      <c r="A254" s="1" t="n">
        <v>42130</v>
      </c>
      <c r="B254" s="27" t="n">
        <v>2386.72</v>
      </c>
      <c r="C254" s="1" t="n">
        <v>42496</v>
      </c>
      <c r="D254" s="25" t="n">
        <v>2952.37</v>
      </c>
      <c r="E254" s="25" t="n"/>
      <c r="F254" s="25" t="n"/>
      <c r="G254" s="28">
        <f>D254-B254</f>
        <v/>
      </c>
      <c r="H254" s="10">
        <f>(D254/B254)-1</f>
        <v/>
      </c>
      <c r="I254" s="7" t="n"/>
      <c r="J254" s="1" t="n">
        <v>42822</v>
      </c>
      <c r="K254" s="25" t="n">
        <v>2913.48</v>
      </c>
      <c r="L254" s="1" t="n">
        <v>43187</v>
      </c>
      <c r="M254" s="25" t="n">
        <v>2780.04</v>
      </c>
      <c r="N254" s="26">
        <f>M254-K254</f>
        <v/>
      </c>
      <c r="O254" s="7">
        <f>(M254/K254)-1</f>
        <v/>
      </c>
      <c r="P254" s="4" t="n"/>
    </row>
    <row hidden="1" r="255" s="64" spans="1:23">
      <c r="A255" s="1" t="n">
        <v>42131</v>
      </c>
      <c r="B255" s="27" t="n">
        <v>2362.41</v>
      </c>
      <c r="C255" s="1" t="n">
        <v>42497</v>
      </c>
      <c r="D255" s="25" t="n">
        <v>2969.62</v>
      </c>
      <c r="E255" s="25" t="n"/>
      <c r="F255" s="25" t="n"/>
      <c r="G255" s="28">
        <f>D255-B255</f>
        <v/>
      </c>
      <c r="H255" s="10">
        <f>(D255/B255)-1</f>
        <v/>
      </c>
      <c r="I255" s="7" t="n"/>
      <c r="J255" s="1" t="n">
        <v>42822</v>
      </c>
      <c r="K255" s="25" t="n">
        <v>2913.48</v>
      </c>
      <c r="L255" s="1" t="n">
        <v>43187</v>
      </c>
      <c r="M255" s="25" t="n">
        <v>2780.04</v>
      </c>
      <c r="N255" s="26">
        <f>M255-K255</f>
        <v/>
      </c>
      <c r="O255" s="7">
        <f>(M255/K255)-1</f>
        <v/>
      </c>
      <c r="P255" s="4" t="n"/>
    </row>
    <row hidden="1" r="256" s="64" spans="1:23">
      <c r="A256" s="1" t="n">
        <v>42132</v>
      </c>
      <c r="B256" s="27" t="n">
        <v>2369.23</v>
      </c>
      <c r="C256" s="1" t="n">
        <v>42498</v>
      </c>
      <c r="D256" s="25" t="n">
        <v>2969.62</v>
      </c>
      <c r="E256" s="25" t="n"/>
      <c r="F256" s="25" t="n"/>
      <c r="G256" s="28">
        <f>D256-B256</f>
        <v/>
      </c>
      <c r="H256" s="10">
        <f>(D256/B256)-1</f>
        <v/>
      </c>
      <c r="I256" s="7" t="n"/>
      <c r="J256" s="1" t="n">
        <v>42822</v>
      </c>
      <c r="K256" s="25" t="n">
        <v>2913.48</v>
      </c>
      <c r="L256" s="1" t="n">
        <v>43187</v>
      </c>
      <c r="M256" s="25" t="n">
        <v>2780.04</v>
      </c>
      <c r="N256" s="26">
        <f>M256-K256</f>
        <v/>
      </c>
      <c r="O256" s="7">
        <f>(M256/K256)-1</f>
        <v/>
      </c>
      <c r="P256" s="4" t="n"/>
    </row>
    <row hidden="1" r="257" s="64" spans="1:23">
      <c r="A257" s="1" t="n">
        <v>42133</v>
      </c>
      <c r="B257" s="27" t="n">
        <v>2360.58</v>
      </c>
      <c r="C257" s="1" t="n">
        <v>42499</v>
      </c>
      <c r="D257" s="25" t="n">
        <v>2969.62</v>
      </c>
      <c r="E257" s="25" t="n"/>
      <c r="F257" s="25" t="n"/>
      <c r="G257" s="28">
        <f>D257-B257</f>
        <v/>
      </c>
      <c r="H257" s="10">
        <f>(D257/B257)-1</f>
        <v/>
      </c>
      <c r="I257" s="7" t="n"/>
      <c r="J257" s="1" t="n">
        <v>42822</v>
      </c>
      <c r="K257" s="25" t="n">
        <v>2913.48</v>
      </c>
      <c r="L257" s="1" t="n">
        <v>43187</v>
      </c>
      <c r="M257" s="25" t="n">
        <v>2780.04</v>
      </c>
      <c r="N257" s="26">
        <f>M257-K257</f>
        <v/>
      </c>
      <c r="O257" s="7">
        <f>(M257/K257)-1</f>
        <v/>
      </c>
      <c r="P257" s="4" t="n"/>
    </row>
    <row hidden="1" r="258" s="64" spans="1:23">
      <c r="A258" s="1" t="n">
        <v>42134</v>
      </c>
      <c r="B258" s="27" t="n">
        <v>2360.58</v>
      </c>
      <c r="C258" s="1" t="n">
        <v>42500</v>
      </c>
      <c r="D258" s="25" t="n">
        <v>2969.62</v>
      </c>
      <c r="E258" s="25" t="n"/>
      <c r="F258" s="25" t="n"/>
      <c r="G258" s="28">
        <f>D258-B258</f>
        <v/>
      </c>
      <c r="H258" s="10">
        <f>(D258/B258)-1</f>
        <v/>
      </c>
      <c r="I258" s="7" t="n"/>
      <c r="J258" s="1" t="n">
        <v>42822</v>
      </c>
      <c r="K258" s="25" t="n">
        <v>2913.48</v>
      </c>
      <c r="L258" s="1" t="n">
        <v>43187</v>
      </c>
      <c r="M258" s="25" t="n">
        <v>2780.04</v>
      </c>
      <c r="N258" s="26">
        <f>M258-K258</f>
        <v/>
      </c>
      <c r="O258" s="7">
        <f>(M258/K258)-1</f>
        <v/>
      </c>
      <c r="P258" s="4" t="n"/>
    </row>
    <row hidden="1" r="259" s="64" spans="1:23">
      <c r="A259" s="1" t="n">
        <v>42135</v>
      </c>
      <c r="B259" s="27" t="n">
        <v>2360.58</v>
      </c>
      <c r="C259" s="1" t="n">
        <v>42501</v>
      </c>
      <c r="D259" s="25" t="n">
        <v>2979.54</v>
      </c>
      <c r="E259" s="25" t="n"/>
      <c r="F259" s="25" t="n"/>
      <c r="G259" s="28">
        <f>D259-B259</f>
        <v/>
      </c>
      <c r="H259" s="10">
        <f>(D259/B259)-1</f>
        <v/>
      </c>
      <c r="I259" s="7" t="n"/>
      <c r="J259" s="1" t="n">
        <v>42822</v>
      </c>
      <c r="K259" s="25" t="n">
        <v>2913.48</v>
      </c>
      <c r="L259" s="1" t="n">
        <v>43187</v>
      </c>
      <c r="M259" s="25" t="n">
        <v>2780.04</v>
      </c>
      <c r="N259" s="26">
        <f>M259-K259</f>
        <v/>
      </c>
      <c r="O259" s="7">
        <f>(M259/K259)-1</f>
        <v/>
      </c>
      <c r="P259" s="4" t="n"/>
    </row>
    <row hidden="1" r="260" s="64" spans="1:23">
      <c r="A260" s="1" t="n">
        <v>42136</v>
      </c>
      <c r="B260" s="27" t="n">
        <v>2381.53</v>
      </c>
      <c r="C260" s="1" t="n">
        <v>42502</v>
      </c>
      <c r="D260" s="25" t="n">
        <v>2956.82</v>
      </c>
      <c r="E260" s="25" t="n"/>
      <c r="F260" s="25" t="n"/>
      <c r="G260" s="28">
        <f>D260-B260</f>
        <v/>
      </c>
      <c r="H260" s="10">
        <f>(D260/B260)-1</f>
        <v/>
      </c>
      <c r="I260" s="7" t="n"/>
      <c r="J260" s="1" t="n">
        <v>42822</v>
      </c>
      <c r="K260" s="25" t="n">
        <v>2913.48</v>
      </c>
      <c r="L260" s="1" t="n">
        <v>43187</v>
      </c>
      <c r="M260" s="25" t="n">
        <v>2780.04</v>
      </c>
      <c r="N260" s="26">
        <f>M260-K260</f>
        <v/>
      </c>
      <c r="O260" s="7">
        <f>(M260/K260)-1</f>
        <v/>
      </c>
      <c r="P260" s="4" t="n"/>
    </row>
    <row hidden="1" r="261" s="64" spans="1:23">
      <c r="A261" s="1" t="n">
        <v>42137</v>
      </c>
      <c r="B261" s="27" t="n">
        <v>2386.77</v>
      </c>
      <c r="C261" s="1" t="n">
        <v>42503</v>
      </c>
      <c r="D261" s="25" t="n">
        <v>2934.88</v>
      </c>
      <c r="E261" s="25" t="n"/>
      <c r="F261" s="25" t="n"/>
      <c r="G261" s="28">
        <f>D261-B261</f>
        <v/>
      </c>
      <c r="H261" s="10">
        <f>(D261/B261)-1</f>
        <v/>
      </c>
      <c r="I261" s="7" t="n"/>
      <c r="J261" s="1" t="n">
        <v>42822</v>
      </c>
      <c r="K261" s="25" t="n">
        <v>2913.48</v>
      </c>
      <c r="L261" s="1" t="n">
        <v>43187</v>
      </c>
      <c r="M261" s="25" t="n">
        <v>2780.04</v>
      </c>
      <c r="N261" s="26">
        <f>M261-K261</f>
        <v/>
      </c>
      <c r="O261" s="7">
        <f>(M261/K261)-1</f>
        <v/>
      </c>
      <c r="P261" s="4" t="n"/>
    </row>
    <row hidden="1" r="262" s="64" spans="1:23">
      <c r="A262" s="1" t="n">
        <v>42138</v>
      </c>
      <c r="B262" s="27" t="n">
        <v>2377.87</v>
      </c>
      <c r="C262" s="1" t="n">
        <v>42504</v>
      </c>
      <c r="D262" s="25" t="n">
        <v>2983.82</v>
      </c>
      <c r="E262" s="25" t="n"/>
      <c r="F262" s="25" t="n"/>
      <c r="G262" s="28">
        <f>D262-B262</f>
        <v/>
      </c>
      <c r="H262" s="10">
        <f>(D262/B262)-1</f>
        <v/>
      </c>
      <c r="I262" s="7" t="n"/>
      <c r="J262" s="1" t="n">
        <v>42822</v>
      </c>
      <c r="K262" s="25" t="n">
        <v>2913.48</v>
      </c>
      <c r="L262" s="1" t="n">
        <v>43187</v>
      </c>
      <c r="M262" s="25" t="n">
        <v>2780.04</v>
      </c>
      <c r="N262" s="26">
        <f>M262-K262</f>
        <v/>
      </c>
      <c r="O262" s="7">
        <f>(M262/K262)-1</f>
        <v/>
      </c>
      <c r="P262" s="4" t="n"/>
    </row>
    <row hidden="1" r="263" s="64" spans="1:23">
      <c r="A263" s="1" t="n">
        <v>42139</v>
      </c>
      <c r="B263" s="27" t="n">
        <v>2389.49</v>
      </c>
      <c r="C263" s="1" t="n">
        <v>42505</v>
      </c>
      <c r="D263" s="25" t="n">
        <v>2983.82</v>
      </c>
      <c r="E263" s="25" t="n"/>
      <c r="F263" s="25" t="n"/>
      <c r="G263" s="28">
        <f>D263-B263</f>
        <v/>
      </c>
      <c r="H263" s="10">
        <f>(D263/B263)-1</f>
        <v/>
      </c>
      <c r="I263" s="7" t="n"/>
      <c r="J263" s="1" t="n">
        <v>42822</v>
      </c>
      <c r="K263" s="25" t="n">
        <v>2913.48</v>
      </c>
      <c r="L263" s="1" t="n">
        <v>43187</v>
      </c>
      <c r="M263" s="25" t="n">
        <v>2780.04</v>
      </c>
      <c r="N263" s="26">
        <f>M263-K263</f>
        <v/>
      </c>
      <c r="O263" s="7">
        <f>(M263/K263)-1</f>
        <v/>
      </c>
      <c r="P263" s="4" t="n"/>
    </row>
    <row hidden="1" r="264" s="64" spans="1:23">
      <c r="A264" s="1" t="n">
        <v>42140</v>
      </c>
      <c r="B264" s="27" t="n">
        <v>2417.01</v>
      </c>
      <c r="C264" s="1" t="n">
        <v>42506</v>
      </c>
      <c r="D264" s="25" t="n">
        <v>2983.82</v>
      </c>
      <c r="E264" s="25" t="n"/>
      <c r="F264" s="25" t="n"/>
      <c r="G264" s="28">
        <f>D264-B264</f>
        <v/>
      </c>
      <c r="H264" s="10">
        <f>(D264/B264)-1</f>
        <v/>
      </c>
      <c r="I264" s="7" t="n"/>
      <c r="J264" s="1" t="n">
        <v>42822</v>
      </c>
      <c r="K264" s="25" t="n">
        <v>2913.48</v>
      </c>
      <c r="L264" s="1" t="n">
        <v>43187</v>
      </c>
      <c r="M264" s="25" t="n">
        <v>2780.04</v>
      </c>
      <c r="N264" s="26">
        <f>M264-K264</f>
        <v/>
      </c>
      <c r="O264" s="7">
        <f>(M264/K264)-1</f>
        <v/>
      </c>
      <c r="P264" s="4" t="n"/>
    </row>
    <row hidden="1" r="265" s="64" spans="1:23">
      <c r="A265" s="1" t="n">
        <v>42141</v>
      </c>
      <c r="B265" s="27" t="n">
        <v>2417.01</v>
      </c>
      <c r="C265" s="1" t="n">
        <v>42507</v>
      </c>
      <c r="D265" s="25" t="n">
        <v>3007.74</v>
      </c>
      <c r="E265" s="25" t="n"/>
      <c r="F265" s="25" t="n"/>
      <c r="G265" s="28">
        <f>D265-B265</f>
        <v/>
      </c>
      <c r="H265" s="10">
        <f>(D265/B265)-1</f>
        <v/>
      </c>
      <c r="I265" s="7" t="n"/>
      <c r="J265" s="1" t="n">
        <v>42822</v>
      </c>
      <c r="K265" s="25" t="n">
        <v>2913.48</v>
      </c>
      <c r="L265" s="1" t="n">
        <v>43187</v>
      </c>
      <c r="M265" s="25" t="n">
        <v>2780.04</v>
      </c>
      <c r="N265" s="26">
        <f>M265-K265</f>
        <v/>
      </c>
      <c r="O265" s="7">
        <f>(M265/K265)-1</f>
        <v/>
      </c>
      <c r="P265" s="4" t="n"/>
    </row>
    <row hidden="1" r="266" s="64" spans="1:23">
      <c r="A266" s="1" t="n">
        <v>42142</v>
      </c>
      <c r="B266" s="27" t="n">
        <v>2417.01</v>
      </c>
      <c r="C266" s="1" t="n">
        <v>42508</v>
      </c>
      <c r="D266" s="25" t="n">
        <v>3020.89</v>
      </c>
      <c r="E266" s="25" t="n"/>
      <c r="F266" s="25" t="n"/>
      <c r="G266" s="28">
        <f>D266-B266</f>
        <v/>
      </c>
      <c r="H266" s="10">
        <f>(D266/B266)-1</f>
        <v/>
      </c>
      <c r="I266" s="7" t="n"/>
      <c r="J266" s="1" t="n">
        <v>42822</v>
      </c>
      <c r="K266" s="25" t="n">
        <v>2913.48</v>
      </c>
      <c r="L266" s="1" t="n">
        <v>43187</v>
      </c>
      <c r="M266" s="25" t="n">
        <v>2780.04</v>
      </c>
      <c r="N266" s="26">
        <f>M266-K266</f>
        <v/>
      </c>
      <c r="O266" s="7">
        <f>(M266/K266)-1</f>
        <v/>
      </c>
      <c r="P266" s="4" t="n"/>
    </row>
    <row hidden="1" r="267" s="64" spans="1:23">
      <c r="A267" s="1" t="n">
        <v>42143</v>
      </c>
      <c r="B267" s="27" t="n">
        <v>2417.01</v>
      </c>
      <c r="C267" s="1" t="n">
        <v>42509</v>
      </c>
      <c r="D267" s="25" t="n">
        <v>3031.48</v>
      </c>
      <c r="E267" s="25" t="n"/>
      <c r="F267" s="25" t="n"/>
      <c r="G267" s="28">
        <f>D267-B267</f>
        <v/>
      </c>
      <c r="H267" s="10">
        <f>(D267/B267)-1</f>
        <v/>
      </c>
      <c r="I267" s="7" t="n"/>
      <c r="J267" s="1" t="n">
        <v>42822</v>
      </c>
      <c r="K267" s="25" t="n">
        <v>2913.48</v>
      </c>
      <c r="L267" s="1" t="n">
        <v>43187</v>
      </c>
      <c r="M267" s="25" t="n">
        <v>2780.04</v>
      </c>
      <c r="N267" s="26">
        <f>M267-K267</f>
        <v/>
      </c>
      <c r="O267" s="7">
        <f>(M267/K267)-1</f>
        <v/>
      </c>
      <c r="P267" s="4" t="n"/>
    </row>
    <row hidden="1" r="268" s="64" spans="1:23">
      <c r="A268" s="1" t="n">
        <v>42144</v>
      </c>
      <c r="B268" s="27" t="n">
        <v>2475.45</v>
      </c>
      <c r="C268" s="1" t="n">
        <v>42510</v>
      </c>
      <c r="D268" s="25" t="n">
        <v>3056.06</v>
      </c>
      <c r="E268" s="25" t="n"/>
      <c r="F268" s="25" t="n"/>
      <c r="G268" s="28">
        <f>D268-B268</f>
        <v/>
      </c>
      <c r="H268" s="10">
        <f>(D268/B268)-1</f>
        <v/>
      </c>
      <c r="I268" s="7" t="n"/>
      <c r="J268" s="1" t="n">
        <v>42822</v>
      </c>
      <c r="K268" s="25" t="n">
        <v>2913.48</v>
      </c>
      <c r="L268" s="1" t="n">
        <v>43187</v>
      </c>
      <c r="M268" s="25" t="n">
        <v>2780.04</v>
      </c>
      <c r="N268" s="26">
        <f>M268-K268</f>
        <v/>
      </c>
      <c r="O268" s="7">
        <f>(M268/K268)-1</f>
        <v/>
      </c>
      <c r="P268" s="4" t="n"/>
    </row>
    <row hidden="1" r="269" s="64" spans="1:23">
      <c r="A269" s="1" t="n">
        <v>42145</v>
      </c>
      <c r="B269" s="27" t="n">
        <v>2503.37</v>
      </c>
      <c r="C269" s="1" t="n">
        <v>42511</v>
      </c>
      <c r="D269" s="25" t="n">
        <v>3047.99</v>
      </c>
      <c r="E269" s="25" t="n"/>
      <c r="F269" s="25" t="n"/>
      <c r="G269" s="28">
        <f>D269-B269</f>
        <v/>
      </c>
      <c r="H269" s="10">
        <f>(D269/B269)-1</f>
        <v/>
      </c>
      <c r="I269" s="7" t="n"/>
      <c r="J269" s="1" t="n">
        <v>42822</v>
      </c>
      <c r="K269" s="25" t="n">
        <v>2913.48</v>
      </c>
      <c r="L269" s="1" t="n">
        <v>43187</v>
      </c>
      <c r="M269" s="25" t="n">
        <v>2780.04</v>
      </c>
      <c r="N269" s="26">
        <f>M269-K269</f>
        <v/>
      </c>
      <c r="O269" s="7">
        <f>(M269/K269)-1</f>
        <v/>
      </c>
      <c r="P269" s="4" t="n"/>
    </row>
    <row hidden="1" r="270" s="64" spans="1:23">
      <c r="A270" s="1" t="n">
        <v>42146</v>
      </c>
      <c r="B270" s="27" t="n">
        <v>2489.39</v>
      </c>
      <c r="C270" s="1" t="n">
        <v>42512</v>
      </c>
      <c r="D270" s="25" t="n">
        <v>3047.99</v>
      </c>
      <c r="E270" s="25" t="n"/>
      <c r="F270" s="25" t="n"/>
      <c r="G270" s="28">
        <f>D270-B270</f>
        <v/>
      </c>
      <c r="H270" s="10">
        <f>(D270/B270)-1</f>
        <v/>
      </c>
      <c r="I270" s="7" t="n"/>
      <c r="J270" s="1" t="n">
        <v>42822</v>
      </c>
      <c r="K270" s="25" t="n">
        <v>2913.48</v>
      </c>
      <c r="L270" s="1" t="n">
        <v>43187</v>
      </c>
      <c r="M270" s="25" t="n">
        <v>2780.04</v>
      </c>
      <c r="N270" s="26">
        <f>M270-K270</f>
        <v/>
      </c>
      <c r="O270" s="7">
        <f>(M270/K270)-1</f>
        <v/>
      </c>
      <c r="P270" s="4" t="n"/>
    </row>
    <row hidden="1" r="271" s="64" spans="1:23">
      <c r="A271" s="1" t="n">
        <v>42147</v>
      </c>
      <c r="B271" s="27" t="n">
        <v>2500.22</v>
      </c>
      <c r="C271" s="1" t="n">
        <v>42513</v>
      </c>
      <c r="D271" s="25" t="n">
        <v>3047.99</v>
      </c>
      <c r="E271" s="25" t="n"/>
      <c r="F271" s="25" t="n"/>
      <c r="G271" s="28">
        <f>D271-B271</f>
        <v/>
      </c>
      <c r="H271" s="10">
        <f>(D271/B271)-1</f>
        <v/>
      </c>
      <c r="I271" s="7" t="n"/>
      <c r="J271" s="1" t="n">
        <v>42822</v>
      </c>
      <c r="K271" s="25" t="n">
        <v>2913.48</v>
      </c>
      <c r="L271" s="1" t="n">
        <v>43187</v>
      </c>
      <c r="M271" s="25" t="n">
        <v>2780.04</v>
      </c>
      <c r="N271" s="26">
        <f>M271-K271</f>
        <v/>
      </c>
      <c r="O271" s="7">
        <f>(M271/K271)-1</f>
        <v/>
      </c>
      <c r="P271" s="4" t="n"/>
    </row>
    <row hidden="1" r="272" s="64" spans="1:23">
      <c r="A272" s="1" t="n">
        <v>42148</v>
      </c>
      <c r="B272" s="27" t="n">
        <v>2500.22</v>
      </c>
      <c r="C272" s="1" t="n">
        <v>42514</v>
      </c>
      <c r="D272" s="25" t="n">
        <v>3058.25</v>
      </c>
      <c r="E272" s="25" t="n"/>
      <c r="F272" s="25" t="n"/>
      <c r="G272" s="28">
        <f>D272-B272</f>
        <v/>
      </c>
      <c r="H272" s="10">
        <f>(D272/B272)-1</f>
        <v/>
      </c>
      <c r="I272" s="7" t="n"/>
      <c r="J272" s="1" t="n">
        <v>42822</v>
      </c>
      <c r="K272" s="25" t="n">
        <v>2913.48</v>
      </c>
      <c r="L272" s="1" t="n">
        <v>43187</v>
      </c>
      <c r="M272" s="25" t="n">
        <v>2780.04</v>
      </c>
      <c r="N272" s="26">
        <f>M272-K272</f>
        <v/>
      </c>
      <c r="O272" s="7">
        <f>(M272/K272)-1</f>
        <v/>
      </c>
      <c r="P272" s="4" t="n"/>
    </row>
    <row hidden="1" r="273" s="64" spans="1:23">
      <c r="A273" s="1" t="n">
        <v>42149</v>
      </c>
      <c r="B273" s="27" t="n">
        <v>2500.22</v>
      </c>
      <c r="C273" s="1" t="n">
        <v>42515</v>
      </c>
      <c r="D273" s="25" t="n">
        <v>3059.92</v>
      </c>
      <c r="E273" s="25" t="n"/>
      <c r="F273" s="25" t="n"/>
      <c r="G273" s="28">
        <f>D273-B273</f>
        <v/>
      </c>
      <c r="H273" s="10">
        <f>(D273/B273)-1</f>
        <v/>
      </c>
      <c r="I273" s="7" t="n"/>
      <c r="J273" s="1" t="n">
        <v>42822</v>
      </c>
      <c r="K273" s="25" t="n">
        <v>2913.48</v>
      </c>
      <c r="L273" s="1" t="n">
        <v>43187</v>
      </c>
      <c r="M273" s="25" t="n">
        <v>2780.04</v>
      </c>
      <c r="N273" s="26">
        <f>M273-K273</f>
        <v/>
      </c>
      <c r="O273" s="7">
        <f>(M273/K273)-1</f>
        <v/>
      </c>
      <c r="P273" s="4" t="n"/>
    </row>
    <row hidden="1" r="274" s="64" spans="1:23">
      <c r="A274" s="1" t="n">
        <v>42150</v>
      </c>
      <c r="B274" s="27" t="n">
        <v>2500.22</v>
      </c>
      <c r="C274" s="1" t="n">
        <v>42516</v>
      </c>
      <c r="D274" s="25" t="n">
        <v>3061.89</v>
      </c>
      <c r="E274" s="25" t="n"/>
      <c r="F274" s="25" t="n"/>
      <c r="G274" s="28">
        <f>D274-B274</f>
        <v/>
      </c>
      <c r="H274" s="10">
        <f>(D274/B274)-1</f>
        <v/>
      </c>
      <c r="I274" s="7" t="n"/>
      <c r="J274" s="1" t="n">
        <v>42822</v>
      </c>
      <c r="K274" s="25" t="n">
        <v>2913.48</v>
      </c>
      <c r="L274" s="1" t="n">
        <v>43187</v>
      </c>
      <c r="M274" s="25" t="n">
        <v>2780.04</v>
      </c>
      <c r="N274" s="26">
        <f>M274-K274</f>
        <v/>
      </c>
      <c r="O274" s="7">
        <f>(M274/K274)-1</f>
        <v/>
      </c>
      <c r="P274" s="4" t="n"/>
    </row>
    <row hidden="1" r="275" s="64" spans="1:23">
      <c r="A275" s="1" t="n">
        <v>42151</v>
      </c>
      <c r="B275" s="27" t="n">
        <v>2542.53</v>
      </c>
      <c r="C275" s="1" t="n">
        <v>42517</v>
      </c>
      <c r="D275" s="25" t="n">
        <v>3054.6</v>
      </c>
      <c r="E275" s="25" t="n"/>
      <c r="F275" s="25" t="n"/>
      <c r="G275" s="28">
        <f>D275-B275</f>
        <v/>
      </c>
      <c r="H275" s="10">
        <f>(D275/B275)-1</f>
        <v/>
      </c>
      <c r="I275" s="7" t="n"/>
      <c r="J275" s="1" t="n">
        <v>42822</v>
      </c>
      <c r="K275" s="25" t="n">
        <v>2913.48</v>
      </c>
      <c r="L275" s="1" t="n">
        <v>43187</v>
      </c>
      <c r="M275" s="25" t="n">
        <v>2780.04</v>
      </c>
      <c r="N275" s="26">
        <f>M275-K275</f>
        <v/>
      </c>
      <c r="O275" s="7">
        <f>(M275/K275)-1</f>
        <v/>
      </c>
      <c r="P275" s="4" t="n"/>
    </row>
    <row hidden="1" r="276" s="64" spans="1:23">
      <c r="A276" s="1" t="n">
        <v>42152</v>
      </c>
      <c r="B276" s="27" t="n">
        <v>2548.13</v>
      </c>
      <c r="C276" s="1" t="n">
        <v>42518</v>
      </c>
      <c r="D276" s="25" t="n">
        <v>3069.17</v>
      </c>
      <c r="E276" s="25" t="n"/>
      <c r="F276" s="25" t="n"/>
      <c r="G276" s="28">
        <f>D276-B276</f>
        <v/>
      </c>
      <c r="H276" s="10">
        <f>(D276/B276)-1</f>
        <v/>
      </c>
      <c r="I276" s="7" t="n"/>
      <c r="J276" s="1" t="n">
        <v>42822</v>
      </c>
      <c r="K276" s="25" t="n">
        <v>2913.48</v>
      </c>
      <c r="L276" s="1" t="n">
        <v>43187</v>
      </c>
      <c r="M276" s="25" t="n">
        <v>2780.04</v>
      </c>
      <c r="N276" s="26">
        <f>M276-K276</f>
        <v/>
      </c>
      <c r="O276" s="7">
        <f>(M276/K276)-1</f>
        <v/>
      </c>
      <c r="P276" s="4" t="n"/>
    </row>
    <row hidden="1" r="277" s="64" spans="1:23">
      <c r="A277" s="1" t="n">
        <v>42153</v>
      </c>
      <c r="B277" s="27" t="n">
        <v>2549.97</v>
      </c>
      <c r="C277" s="1" t="n">
        <v>42519</v>
      </c>
      <c r="D277" s="25" t="n">
        <v>3069.17</v>
      </c>
      <c r="E277" s="25" t="n"/>
      <c r="F277" s="25" t="n"/>
      <c r="G277" s="28">
        <f>D277-B277</f>
        <v/>
      </c>
      <c r="H277" s="10">
        <f>(D277/B277)-1</f>
        <v/>
      </c>
      <c r="I277" s="7" t="n"/>
      <c r="J277" s="1" t="n">
        <v>42822</v>
      </c>
      <c r="K277" s="25" t="n">
        <v>2913.48</v>
      </c>
      <c r="L277" s="1" t="n">
        <v>43187</v>
      </c>
      <c r="M277" s="25" t="n">
        <v>2780.04</v>
      </c>
      <c r="N277" s="26">
        <f>M277-K277</f>
        <v/>
      </c>
      <c r="O277" s="7">
        <f>(M277/K277)-1</f>
        <v/>
      </c>
      <c r="P277" s="4" t="n"/>
    </row>
    <row hidden="1" r="278" s="64" spans="1:23">
      <c r="A278" s="1" t="n">
        <v>42154</v>
      </c>
      <c r="B278" s="27" t="n">
        <v>2533.79</v>
      </c>
      <c r="C278" s="1" t="n">
        <v>42520</v>
      </c>
      <c r="D278" s="25" t="n">
        <v>3069.17</v>
      </c>
      <c r="E278" s="25" t="n"/>
      <c r="F278" s="25" t="n"/>
      <c r="G278" s="28">
        <f>D278-B278</f>
        <v/>
      </c>
      <c r="H278" s="10">
        <f>(D278/B278)-1</f>
        <v/>
      </c>
      <c r="I278" s="7" t="n"/>
      <c r="J278" s="1" t="n">
        <v>42822</v>
      </c>
      <c r="K278" s="25" t="n">
        <v>2913.48</v>
      </c>
      <c r="L278" s="1" t="n">
        <v>43187</v>
      </c>
      <c r="M278" s="25" t="n">
        <v>2780.04</v>
      </c>
      <c r="N278" s="26">
        <f>M278-K278</f>
        <v/>
      </c>
      <c r="O278" s="7">
        <f>(M278/K278)-1</f>
        <v/>
      </c>
      <c r="P278" s="4" t="n"/>
    </row>
    <row hidden="1" r="279" s="64" spans="1:23">
      <c r="A279" s="1" t="n">
        <v>42155</v>
      </c>
      <c r="B279" s="27" t="n">
        <v>2533.79</v>
      </c>
      <c r="C279" s="1" t="n">
        <v>42521</v>
      </c>
      <c r="D279" s="25" t="n">
        <v>3069.17</v>
      </c>
      <c r="E279" s="25" t="n"/>
      <c r="F279" s="25" t="n"/>
      <c r="G279" s="28">
        <f>D279-B279</f>
        <v/>
      </c>
      <c r="H279" s="10">
        <f>(D279/B279)-1</f>
        <v/>
      </c>
      <c r="I279" s="7" t="n"/>
      <c r="J279" s="1" t="n">
        <v>42822</v>
      </c>
      <c r="K279" s="25" t="n">
        <v>2913.48</v>
      </c>
      <c r="L279" s="1" t="n">
        <v>43187</v>
      </c>
      <c r="M279" s="25" t="n">
        <v>2780.04</v>
      </c>
      <c r="N279" s="26">
        <f>M279-K279</f>
        <v/>
      </c>
      <c r="O279" s="7">
        <f>(M279/K279)-1</f>
        <v/>
      </c>
      <c r="P279" s="4" t="n"/>
    </row>
    <row hidden="1" r="280" s="64" spans="1:23">
      <c r="A280" s="1" t="n">
        <v>42156</v>
      </c>
      <c r="B280" s="27" t="n">
        <v>2533.79</v>
      </c>
      <c r="C280" s="1" t="n">
        <v>42522</v>
      </c>
      <c r="D280" s="25" t="n">
        <v>3089.65</v>
      </c>
      <c r="E280" s="25" t="n"/>
      <c r="F280" s="25" t="n"/>
      <c r="G280" s="28">
        <f>D280-B280</f>
        <v/>
      </c>
      <c r="H280" s="10">
        <f>(D280/B280)-1</f>
        <v/>
      </c>
      <c r="I280" s="7" t="n"/>
      <c r="J280" s="1" t="n">
        <v>42822</v>
      </c>
      <c r="K280" s="25" t="n">
        <v>2913.48</v>
      </c>
      <c r="L280" s="1" t="n">
        <v>43187</v>
      </c>
      <c r="M280" s="25" t="n">
        <v>2780.04</v>
      </c>
      <c r="N280" s="26">
        <f>M280-K280</f>
        <v/>
      </c>
      <c r="O280" s="7">
        <f>(M280/K280)-1</f>
        <v/>
      </c>
      <c r="P280" s="4" t="n"/>
    </row>
    <row hidden="1" r="281" s="64" spans="1:23">
      <c r="A281" s="1" t="n">
        <v>42157</v>
      </c>
      <c r="B281" s="27" t="n">
        <v>2549.29</v>
      </c>
      <c r="C281" s="1" t="n">
        <v>42523</v>
      </c>
      <c r="D281" s="25" t="n">
        <v>3117.83</v>
      </c>
      <c r="E281" s="25" t="n"/>
      <c r="F281" s="25" t="n"/>
      <c r="G281" s="28">
        <f>D281-B281</f>
        <v/>
      </c>
      <c r="H281" s="10">
        <f>(D281/B281)-1</f>
        <v/>
      </c>
      <c r="I281" s="7" t="n"/>
      <c r="J281" s="1" t="n">
        <v>42822</v>
      </c>
      <c r="K281" s="25" t="n">
        <v>2913.48</v>
      </c>
      <c r="L281" s="1" t="n">
        <v>43187</v>
      </c>
      <c r="M281" s="25" t="n">
        <v>2780.04</v>
      </c>
      <c r="N281" s="26">
        <f>M281-K281</f>
        <v/>
      </c>
      <c r="O281" s="7">
        <f>(M281/K281)-1</f>
        <v/>
      </c>
      <c r="P281" s="4" t="n"/>
    </row>
    <row hidden="1" r="282" s="64" spans="1:23">
      <c r="A282" s="1" t="n">
        <v>42158</v>
      </c>
      <c r="B282" s="27" t="n">
        <v>2554.44</v>
      </c>
      <c r="C282" s="1" t="n">
        <v>42524</v>
      </c>
      <c r="D282" s="25" t="n">
        <v>3110.88</v>
      </c>
      <c r="E282" s="25" t="n"/>
      <c r="F282" s="25" t="n"/>
      <c r="G282" s="28">
        <f>D282-B282</f>
        <v/>
      </c>
      <c r="H282" s="10">
        <f>(D282/B282)-1</f>
        <v/>
      </c>
      <c r="I282" s="7" t="n"/>
      <c r="J282" s="1" t="n">
        <v>42822</v>
      </c>
      <c r="K282" s="25" t="n">
        <v>2913.48</v>
      </c>
      <c r="L282" s="1" t="n">
        <v>43187</v>
      </c>
      <c r="M282" s="25" t="n">
        <v>2780.04</v>
      </c>
      <c r="N282" s="26">
        <f>M282-K282</f>
        <v/>
      </c>
      <c r="O282" s="7">
        <f>(M282/K282)-1</f>
        <v/>
      </c>
      <c r="P282" s="4" t="n"/>
    </row>
    <row hidden="1" r="283" s="64" spans="1:23">
      <c r="A283" s="1" t="n">
        <v>42159</v>
      </c>
      <c r="B283" s="27" t="n">
        <v>2571.92</v>
      </c>
      <c r="C283" s="1" t="n">
        <v>42525</v>
      </c>
      <c r="D283" s="25" t="n">
        <v>3017.71</v>
      </c>
      <c r="E283" s="25" t="n"/>
      <c r="F283" s="25" t="n"/>
      <c r="G283" s="28">
        <f>D283-B283</f>
        <v/>
      </c>
      <c r="H283" s="10">
        <f>(D283/B283)-1</f>
        <v/>
      </c>
      <c r="I283" s="7" t="n"/>
      <c r="J283" s="1" t="n">
        <v>42822</v>
      </c>
      <c r="K283" s="25" t="n">
        <v>2913.48</v>
      </c>
      <c r="L283" s="1" t="n">
        <v>43187</v>
      </c>
      <c r="M283" s="25" t="n">
        <v>2780.04</v>
      </c>
      <c r="N283" s="26">
        <f>M283-K283</f>
        <v/>
      </c>
      <c r="O283" s="7">
        <f>(M283/K283)-1</f>
        <v/>
      </c>
      <c r="P283" s="4" t="n"/>
    </row>
    <row hidden="1" r="284" s="64" spans="1:23">
      <c r="A284" s="1" t="n">
        <v>42160</v>
      </c>
      <c r="B284" s="27" t="n">
        <v>2588.56</v>
      </c>
      <c r="C284" s="1" t="n">
        <v>42526</v>
      </c>
      <c r="D284" s="25" t="n">
        <v>3017.71</v>
      </c>
      <c r="E284" s="25" t="n"/>
      <c r="F284" s="25" t="n"/>
      <c r="G284" s="28">
        <f>D284-B284</f>
        <v/>
      </c>
      <c r="H284" s="10">
        <f>(D284/B284)-1</f>
        <v/>
      </c>
      <c r="I284" s="7" t="n"/>
      <c r="J284" s="1" t="n">
        <v>42822</v>
      </c>
      <c r="K284" s="25" t="n">
        <v>2913.48</v>
      </c>
      <c r="L284" s="1" t="n">
        <v>43187</v>
      </c>
      <c r="M284" s="25" t="n">
        <v>2780.04</v>
      </c>
      <c r="N284" s="26">
        <f>M284-K284</f>
        <v/>
      </c>
      <c r="O284" s="7">
        <f>(M284/K284)-1</f>
        <v/>
      </c>
      <c r="P284" s="4" t="n"/>
    </row>
    <row hidden="1" r="285" s="64" spans="1:23">
      <c r="A285" s="1" t="n">
        <v>42161</v>
      </c>
      <c r="B285" s="27" t="n">
        <v>2623.66</v>
      </c>
      <c r="C285" s="1" t="n">
        <v>42527</v>
      </c>
      <c r="D285" s="25" t="n">
        <v>3017.71</v>
      </c>
      <c r="E285" s="25" t="n"/>
      <c r="F285" s="25" t="n"/>
      <c r="G285" s="28">
        <f>D285-B285</f>
        <v/>
      </c>
      <c r="H285" s="10">
        <f>(D285/B285)-1</f>
        <v/>
      </c>
      <c r="I285" s="7" t="n"/>
      <c r="J285" s="1" t="n">
        <v>42822</v>
      </c>
      <c r="K285" s="25" t="n">
        <v>2913.48</v>
      </c>
      <c r="L285" s="1" t="n">
        <v>43187</v>
      </c>
      <c r="M285" s="25" t="n">
        <v>2780.04</v>
      </c>
      <c r="N285" s="26">
        <f>M285-K285</f>
        <v/>
      </c>
      <c r="O285" s="7">
        <f>(M285/K285)-1</f>
        <v/>
      </c>
      <c r="P285" s="4" t="n"/>
    </row>
    <row hidden="1" r="286" s="64" spans="1:23">
      <c r="A286" s="1" t="n">
        <v>42162</v>
      </c>
      <c r="B286" s="27" t="n">
        <v>2623.66</v>
      </c>
      <c r="C286" s="1" t="n">
        <v>42528</v>
      </c>
      <c r="D286" s="25" t="n">
        <v>3017.71</v>
      </c>
      <c r="E286" s="25" t="n"/>
      <c r="F286" s="25" t="n"/>
      <c r="G286" s="28">
        <f>D286-B286</f>
        <v/>
      </c>
      <c r="H286" s="10">
        <f>(D286/B286)-1</f>
        <v/>
      </c>
      <c r="I286" s="7" t="n"/>
      <c r="J286" s="1" t="n">
        <v>42822</v>
      </c>
      <c r="K286" s="25" t="n">
        <v>2913.48</v>
      </c>
      <c r="L286" s="1" t="n">
        <v>43187</v>
      </c>
      <c r="M286" s="25" t="n">
        <v>2780.04</v>
      </c>
      <c r="N286" s="26">
        <f>M286-K286</f>
        <v/>
      </c>
      <c r="O286" s="7">
        <f>(M286/K286)-1</f>
        <v/>
      </c>
      <c r="P286" s="4" t="n"/>
    </row>
    <row hidden="1" r="287" s="64" spans="1:23">
      <c r="A287" s="1" t="n">
        <v>42163</v>
      </c>
      <c r="B287" s="27" t="n">
        <v>2623.66</v>
      </c>
      <c r="C287" s="1" t="n">
        <v>42529</v>
      </c>
      <c r="D287" s="25" t="n">
        <v>2950.95</v>
      </c>
      <c r="E287" s="25" t="n"/>
      <c r="F287" s="25" t="n"/>
      <c r="G287" s="28">
        <f>D287-B287</f>
        <v/>
      </c>
      <c r="H287" s="10">
        <f>(D287/B287)-1</f>
        <v/>
      </c>
      <c r="I287" s="7" t="n"/>
      <c r="J287" s="1" t="n">
        <v>42822</v>
      </c>
      <c r="K287" s="25" t="n">
        <v>2913.48</v>
      </c>
      <c r="L287" s="1" t="n">
        <v>43187</v>
      </c>
      <c r="M287" s="25" t="n">
        <v>2780.04</v>
      </c>
      <c r="N287" s="26">
        <f>M287-K287</f>
        <v/>
      </c>
      <c r="O287" s="7">
        <f>(M287/K287)-1</f>
        <v/>
      </c>
      <c r="P287" s="4" t="n"/>
    </row>
    <row hidden="1" r="288" s="64" spans="1:23">
      <c r="A288" s="1" t="n">
        <v>42164</v>
      </c>
      <c r="B288" s="27" t="n">
        <v>2623.66</v>
      </c>
      <c r="C288" s="1" t="n">
        <v>42530</v>
      </c>
      <c r="D288" s="25" t="n">
        <v>2905.23</v>
      </c>
      <c r="E288" s="25" t="n"/>
      <c r="F288" s="25" t="n"/>
      <c r="G288" s="28">
        <f>D288-B288</f>
        <v/>
      </c>
      <c r="H288" s="10">
        <f>(D288/B288)-1</f>
        <v/>
      </c>
      <c r="I288" s="7" t="n"/>
      <c r="J288" s="1" t="n">
        <v>42822</v>
      </c>
      <c r="K288" s="25" t="n">
        <v>2913.48</v>
      </c>
      <c r="L288" s="1" t="n">
        <v>43187</v>
      </c>
      <c r="M288" s="25" t="n">
        <v>2780.04</v>
      </c>
      <c r="N288" s="26">
        <f>M288-K288</f>
        <v/>
      </c>
      <c r="O288" s="7">
        <f>(M288/K288)-1</f>
        <v/>
      </c>
      <c r="P288" s="4" t="n"/>
    </row>
    <row hidden="1" r="289" s="64" spans="1:23">
      <c r="A289" s="1" t="n">
        <v>42165</v>
      </c>
      <c r="B289" s="27" t="n">
        <v>2569.17</v>
      </c>
      <c r="C289" s="1" t="n">
        <v>42531</v>
      </c>
      <c r="D289" s="25" t="n">
        <v>2942.13</v>
      </c>
      <c r="E289" s="25" t="n"/>
      <c r="F289" s="25" t="n"/>
      <c r="G289" s="28">
        <f>D289-B289</f>
        <v/>
      </c>
      <c r="H289" s="10">
        <f>(D289/B289)-1</f>
        <v/>
      </c>
      <c r="I289" s="7" t="n"/>
      <c r="J289" s="1" t="n">
        <v>42822</v>
      </c>
      <c r="K289" s="25" t="n">
        <v>2913.48</v>
      </c>
      <c r="L289" s="1" t="n">
        <v>43187</v>
      </c>
      <c r="M289" s="25" t="n">
        <v>2780.04</v>
      </c>
      <c r="N289" s="26">
        <f>M289-K289</f>
        <v/>
      </c>
      <c r="O289" s="7">
        <f>(M289/K289)-1</f>
        <v/>
      </c>
      <c r="P289" s="4" t="n"/>
    </row>
    <row hidden="1" r="290" s="64" spans="1:23">
      <c r="A290" s="1" t="n">
        <v>42166</v>
      </c>
      <c r="B290" s="27" t="n">
        <v>2523</v>
      </c>
      <c r="C290" s="1" t="n">
        <v>42532</v>
      </c>
      <c r="D290" s="25" t="n">
        <v>2969.83</v>
      </c>
      <c r="E290" s="25" t="n"/>
      <c r="F290" s="25" t="n"/>
      <c r="G290" s="28">
        <f>D290-B290</f>
        <v/>
      </c>
      <c r="H290" s="10">
        <f>(D290/B290)-1</f>
        <v/>
      </c>
      <c r="I290" s="7" t="n"/>
      <c r="J290" s="1" t="n">
        <v>42822</v>
      </c>
      <c r="K290" s="25" t="n">
        <v>2913.48</v>
      </c>
      <c r="L290" s="1" t="n">
        <v>43187</v>
      </c>
      <c r="M290" s="25" t="n">
        <v>2780.04</v>
      </c>
      <c r="N290" s="26">
        <f>M290-K290</f>
        <v/>
      </c>
      <c r="O290" s="7">
        <f>(M290/K290)-1</f>
        <v/>
      </c>
      <c r="P290" s="4" t="n"/>
    </row>
    <row hidden="1" r="291" s="64" spans="1:23">
      <c r="A291" s="1" t="n">
        <v>42167</v>
      </c>
      <c r="B291" s="27" t="n">
        <v>2538.55</v>
      </c>
      <c r="C291" s="1" t="n">
        <v>42533</v>
      </c>
      <c r="D291" s="25" t="n">
        <v>2969.83</v>
      </c>
      <c r="E291" s="25" t="n"/>
      <c r="F291" s="25" t="n"/>
      <c r="G291" s="28">
        <f>D291-B291</f>
        <v/>
      </c>
      <c r="H291" s="10">
        <f>(D291/B291)-1</f>
        <v/>
      </c>
      <c r="I291" s="7" t="n"/>
      <c r="J291" s="1" t="n">
        <v>42822</v>
      </c>
      <c r="K291" s="25" t="n">
        <v>2913.48</v>
      </c>
      <c r="L291" s="1" t="n">
        <v>43187</v>
      </c>
      <c r="M291" s="25" t="n">
        <v>2780.04</v>
      </c>
      <c r="N291" s="26">
        <f>M291-K291</f>
        <v/>
      </c>
      <c r="O291" s="7">
        <f>(M291/K291)-1</f>
        <v/>
      </c>
      <c r="P291" s="4" t="n"/>
    </row>
    <row hidden="1" r="292" s="64" spans="1:23">
      <c r="A292" s="1" t="n">
        <v>42168</v>
      </c>
      <c r="B292" s="27" t="n">
        <v>2535.91</v>
      </c>
      <c r="C292" s="1" t="n">
        <v>42534</v>
      </c>
      <c r="D292" s="25" t="n">
        <v>2969.83</v>
      </c>
      <c r="E292" s="25" t="n"/>
      <c r="F292" s="25" t="n"/>
      <c r="G292" s="28">
        <f>D292-B292</f>
        <v/>
      </c>
      <c r="H292" s="10">
        <f>(D292/B292)-1</f>
        <v/>
      </c>
      <c r="I292" s="7" t="n"/>
      <c r="J292" s="1" t="n">
        <v>42822</v>
      </c>
      <c r="K292" s="25" t="n">
        <v>2913.48</v>
      </c>
      <c r="L292" s="1" t="n">
        <v>43187</v>
      </c>
      <c r="M292" s="25" t="n">
        <v>2780.04</v>
      </c>
      <c r="N292" s="26">
        <f>M292-K292</f>
        <v/>
      </c>
      <c r="O292" s="7">
        <f>(M292/K292)-1</f>
        <v/>
      </c>
      <c r="P292" s="4" t="n"/>
    </row>
    <row hidden="1" r="293" s="64" spans="1:23">
      <c r="A293" s="1" t="n">
        <v>42169</v>
      </c>
      <c r="B293" s="27" t="n">
        <v>2535.91</v>
      </c>
      <c r="C293" s="1" t="n">
        <v>42535</v>
      </c>
      <c r="D293" s="25" t="n">
        <v>2990.35</v>
      </c>
      <c r="E293" s="25" t="n"/>
      <c r="F293" s="25" t="n"/>
      <c r="G293" s="28">
        <f>D293-B293</f>
        <v/>
      </c>
      <c r="H293" s="10">
        <f>(D293/B293)-1</f>
        <v/>
      </c>
      <c r="I293" s="7" t="n"/>
      <c r="J293" s="1" t="n">
        <v>42822</v>
      </c>
      <c r="K293" s="25" t="n">
        <v>2913.48</v>
      </c>
      <c r="L293" s="1" t="n">
        <v>43187</v>
      </c>
      <c r="M293" s="25" t="n">
        <v>2780.04</v>
      </c>
      <c r="N293" s="26">
        <f>M293-K293</f>
        <v/>
      </c>
      <c r="O293" s="7">
        <f>(M293/K293)-1</f>
        <v/>
      </c>
      <c r="P293" s="4" t="n"/>
    </row>
    <row hidden="1" r="294" s="64" spans="1:23">
      <c r="A294" s="1" t="n">
        <v>42170</v>
      </c>
      <c r="B294" s="27" t="n">
        <v>2535.91</v>
      </c>
      <c r="C294" s="1" t="n">
        <v>42536</v>
      </c>
      <c r="D294" s="25" t="n">
        <v>3003.26</v>
      </c>
      <c r="E294" s="25" t="n"/>
      <c r="F294" s="25" t="n"/>
      <c r="G294" s="28">
        <f>D294-B294</f>
        <v/>
      </c>
      <c r="H294" s="10">
        <f>(D294/B294)-1</f>
        <v/>
      </c>
      <c r="I294" s="7" t="n"/>
      <c r="J294" s="1" t="n">
        <v>42822</v>
      </c>
      <c r="K294" s="25" t="n">
        <v>2913.48</v>
      </c>
      <c r="L294" s="1" t="n">
        <v>43187</v>
      </c>
      <c r="M294" s="25" t="n">
        <v>2780.04</v>
      </c>
      <c r="N294" s="26">
        <f>M294-K294</f>
        <v/>
      </c>
      <c r="O294" s="7">
        <f>(M294/K294)-1</f>
        <v/>
      </c>
      <c r="P294" s="4" t="n"/>
    </row>
    <row hidden="1" r="295" s="64" spans="1:23">
      <c r="A295" s="1" t="n">
        <v>42171</v>
      </c>
      <c r="B295" s="27" t="n">
        <v>2535.91</v>
      </c>
      <c r="C295" s="1" t="n">
        <v>42537</v>
      </c>
      <c r="D295" s="25" t="n">
        <v>2989.56</v>
      </c>
      <c r="E295" s="25" t="n"/>
      <c r="F295" s="25" t="n"/>
      <c r="G295" s="28">
        <f>D295-B295</f>
        <v/>
      </c>
      <c r="H295" s="10">
        <f>(D295/B295)-1</f>
        <v/>
      </c>
      <c r="I295" s="7" t="n"/>
      <c r="J295" s="1" t="n">
        <v>42822</v>
      </c>
      <c r="K295" s="25" t="n">
        <v>2913.48</v>
      </c>
      <c r="L295" s="1" t="n">
        <v>43187</v>
      </c>
      <c r="M295" s="25" t="n">
        <v>2780.04</v>
      </c>
      <c r="N295" s="26">
        <f>M295-K295</f>
        <v/>
      </c>
      <c r="O295" s="7">
        <f>(M295/K295)-1</f>
        <v/>
      </c>
      <c r="P295" s="4" t="n"/>
    </row>
    <row hidden="1" r="296" s="64" spans="1:23">
      <c r="A296" s="1" t="n">
        <v>42172</v>
      </c>
      <c r="B296" s="27" t="n">
        <v>2531.72</v>
      </c>
      <c r="C296" s="1" t="n">
        <v>42538</v>
      </c>
      <c r="D296" s="25" t="n">
        <v>3019.12</v>
      </c>
      <c r="E296" s="25" t="n"/>
      <c r="F296" s="25" t="n"/>
      <c r="G296" s="28">
        <f>D296-B296</f>
        <v/>
      </c>
      <c r="H296" s="10">
        <f>(D296/B296)-1</f>
        <v/>
      </c>
      <c r="I296" s="7" t="n"/>
      <c r="J296" s="1" t="n">
        <v>42822</v>
      </c>
      <c r="K296" s="25" t="n">
        <v>2913.48</v>
      </c>
      <c r="L296" s="1" t="n">
        <v>43187</v>
      </c>
      <c r="M296" s="25" t="n">
        <v>2780.04</v>
      </c>
      <c r="N296" s="26">
        <f>M296-K296</f>
        <v/>
      </c>
      <c r="O296" s="7">
        <f>(M296/K296)-1</f>
        <v/>
      </c>
      <c r="P296" s="4" t="n"/>
    </row>
    <row hidden="1" r="297" s="64" spans="1:23">
      <c r="A297" s="1" t="n">
        <v>42173</v>
      </c>
      <c r="B297" s="27" t="n">
        <v>2550.43</v>
      </c>
      <c r="C297" s="1" t="n">
        <v>42539</v>
      </c>
      <c r="D297" s="25" t="n">
        <v>3010.91</v>
      </c>
      <c r="E297" s="25" t="n"/>
      <c r="F297" s="25" t="n"/>
      <c r="G297" s="28">
        <f>D297-B297</f>
        <v/>
      </c>
      <c r="H297" s="10">
        <f>(D297/B297)-1</f>
        <v/>
      </c>
      <c r="I297" s="7" t="n"/>
      <c r="J297" s="1" t="n">
        <v>42822</v>
      </c>
      <c r="K297" s="25" t="n">
        <v>2913.48</v>
      </c>
      <c r="L297" s="1" t="n">
        <v>43187</v>
      </c>
      <c r="M297" s="25" t="n">
        <v>2780.04</v>
      </c>
      <c r="N297" s="26">
        <f>M297-K297</f>
        <v/>
      </c>
      <c r="O297" s="7">
        <f>(M297/K297)-1</f>
        <v/>
      </c>
      <c r="P297" s="4" t="n"/>
    </row>
    <row hidden="1" r="298" s="64" spans="1:23">
      <c r="A298" s="1" t="n">
        <v>42174</v>
      </c>
      <c r="B298" s="27" t="n">
        <v>2528.85</v>
      </c>
      <c r="C298" s="1" t="n">
        <v>42540</v>
      </c>
      <c r="D298" s="25" t="n">
        <v>3010.91</v>
      </c>
      <c r="E298" s="25" t="n"/>
      <c r="F298" s="25" t="n"/>
      <c r="G298" s="28">
        <f>D298-B298</f>
        <v/>
      </c>
      <c r="H298" s="10">
        <f>(D298/B298)-1</f>
        <v/>
      </c>
      <c r="I298" s="7" t="n"/>
      <c r="J298" s="1" t="n">
        <v>42822</v>
      </c>
      <c r="K298" s="25" t="n">
        <v>2913.48</v>
      </c>
      <c r="L298" s="1" t="n">
        <v>43187</v>
      </c>
      <c r="M298" s="25" t="n">
        <v>2780.04</v>
      </c>
      <c r="N298" s="26">
        <f>M298-K298</f>
        <v/>
      </c>
      <c r="O298" s="7">
        <f>(M298/K298)-1</f>
        <v/>
      </c>
      <c r="P298" s="4" t="n"/>
    </row>
    <row hidden="1" r="299" s="64" spans="1:23">
      <c r="A299" s="1" t="n">
        <v>42175</v>
      </c>
      <c r="B299" s="27" t="n">
        <v>2548.2</v>
      </c>
      <c r="C299" s="1" t="n">
        <v>42541</v>
      </c>
      <c r="D299" s="25" t="n">
        <v>3010.91</v>
      </c>
      <c r="E299" s="25" t="n"/>
      <c r="F299" s="25" t="n"/>
      <c r="G299" s="28">
        <f>D299-B299</f>
        <v/>
      </c>
      <c r="H299" s="10">
        <f>(D299/B299)-1</f>
        <v/>
      </c>
      <c r="I299" s="7" t="n"/>
      <c r="J299" s="1" t="n">
        <v>42822</v>
      </c>
      <c r="K299" s="25" t="n">
        <v>2913.48</v>
      </c>
      <c r="L299" s="1" t="n">
        <v>43187</v>
      </c>
      <c r="M299" s="25" t="n">
        <v>2780.04</v>
      </c>
      <c r="N299" s="26">
        <f>M299-K299</f>
        <v/>
      </c>
      <c r="O299" s="7">
        <f>(M299/K299)-1</f>
        <v/>
      </c>
      <c r="P299" s="4" t="n"/>
    </row>
    <row hidden="1" r="300" s="64" spans="1:23">
      <c r="A300" s="1" t="n">
        <v>42176</v>
      </c>
      <c r="B300" s="27" t="n">
        <v>2548.2</v>
      </c>
      <c r="C300" s="1" t="n">
        <v>42542</v>
      </c>
      <c r="D300" s="25" t="n">
        <v>2972.97</v>
      </c>
      <c r="E300" s="25" t="n"/>
      <c r="F300" s="25" t="n"/>
      <c r="G300" s="28">
        <f>D300-B300</f>
        <v/>
      </c>
      <c r="H300" s="10">
        <f>(D300/B300)-1</f>
        <v/>
      </c>
      <c r="I300" s="7" t="n"/>
      <c r="J300" s="1" t="n">
        <v>42822</v>
      </c>
      <c r="K300" s="25" t="n">
        <v>2913.48</v>
      </c>
      <c r="L300" s="1" t="n">
        <v>43187</v>
      </c>
      <c r="M300" s="25" t="n">
        <v>2780.04</v>
      </c>
      <c r="N300" s="26">
        <f>M300-K300</f>
        <v/>
      </c>
      <c r="O300" s="7">
        <f>(M300/K300)-1</f>
        <v/>
      </c>
      <c r="P300" s="4" t="n"/>
    </row>
    <row hidden="1" r="301" s="64" spans="1:23">
      <c r="A301" s="1" t="n">
        <v>42177</v>
      </c>
      <c r="B301" s="27" t="n">
        <v>2548.2</v>
      </c>
      <c r="C301" s="1" t="n">
        <v>42543</v>
      </c>
      <c r="D301" s="25" t="n">
        <v>2976.29</v>
      </c>
      <c r="E301" s="25" t="n"/>
      <c r="F301" s="25" t="n"/>
      <c r="G301" s="28">
        <f>D301-B301</f>
        <v/>
      </c>
      <c r="H301" s="10">
        <f>(D301/B301)-1</f>
        <v/>
      </c>
      <c r="I301" s="7" t="n"/>
      <c r="J301" s="1" t="n">
        <v>42822</v>
      </c>
      <c r="K301" s="25" t="n">
        <v>2913.48</v>
      </c>
      <c r="L301" s="1" t="n">
        <v>43187</v>
      </c>
      <c r="M301" s="25" t="n">
        <v>2780.04</v>
      </c>
      <c r="N301" s="26">
        <f>M301-K301</f>
        <v/>
      </c>
      <c r="O301" s="7">
        <f>(M301/K301)-1</f>
        <v/>
      </c>
      <c r="P301" s="4" t="n"/>
    </row>
    <row hidden="1" r="302" s="64" spans="1:23">
      <c r="A302" s="1" t="n">
        <v>42178</v>
      </c>
      <c r="B302" s="27" t="n">
        <v>2537.68</v>
      </c>
      <c r="C302" s="1" t="n">
        <v>42544</v>
      </c>
      <c r="D302" s="25" t="n">
        <v>2944.06</v>
      </c>
      <c r="E302" s="25" t="n"/>
      <c r="F302" s="25" t="n"/>
      <c r="G302" s="28">
        <f>D302-B302</f>
        <v/>
      </c>
      <c r="H302" s="10">
        <f>(D302/B302)-1</f>
        <v/>
      </c>
      <c r="I302" s="7" t="n"/>
      <c r="J302" s="1" t="n">
        <v>42822</v>
      </c>
      <c r="K302" s="25" t="n">
        <v>2913.48</v>
      </c>
      <c r="L302" s="1" t="n">
        <v>43187</v>
      </c>
      <c r="M302" s="25" t="n">
        <v>2780.04</v>
      </c>
      <c r="N302" s="26">
        <f>M302-K302</f>
        <v/>
      </c>
      <c r="O302" s="7">
        <f>(M302/K302)-1</f>
        <v/>
      </c>
      <c r="P302" s="4" t="n"/>
    </row>
    <row hidden="1" r="303" s="64" spans="1:23">
      <c r="A303" s="1" t="n">
        <v>42179</v>
      </c>
      <c r="B303" s="27" t="n">
        <v>2550.74</v>
      </c>
      <c r="C303" s="1" t="n">
        <v>42545</v>
      </c>
      <c r="D303" s="25" t="n">
        <v>2897.53</v>
      </c>
      <c r="E303" s="25" t="n"/>
      <c r="F303" s="25" t="n"/>
      <c r="G303" s="28">
        <f>D303-B303</f>
        <v/>
      </c>
      <c r="H303" s="10">
        <f>(D303/B303)-1</f>
        <v/>
      </c>
      <c r="I303" s="7" t="n"/>
      <c r="J303" s="1" t="n">
        <v>42822</v>
      </c>
      <c r="K303" s="25" t="n">
        <v>2913.48</v>
      </c>
      <c r="L303" s="1" t="n">
        <v>43187</v>
      </c>
      <c r="M303" s="25" t="n">
        <v>2780.04</v>
      </c>
      <c r="N303" s="26">
        <f>M303-K303</f>
        <v/>
      </c>
      <c r="O303" s="7">
        <f>(M303/K303)-1</f>
        <v/>
      </c>
      <c r="P303" s="4" t="n"/>
    </row>
    <row hidden="1" r="304" s="64" spans="1:23">
      <c r="A304" s="1" t="n">
        <v>42180</v>
      </c>
      <c r="B304" s="27" t="n">
        <v>2566.66</v>
      </c>
      <c r="C304" s="1" t="n">
        <v>42546</v>
      </c>
      <c r="D304" s="25" t="n">
        <v>2972.92</v>
      </c>
      <c r="E304" s="25" t="n"/>
      <c r="F304" s="25" t="n"/>
      <c r="G304" s="28">
        <f>D304-B304</f>
        <v/>
      </c>
      <c r="H304" s="10">
        <f>(D304/B304)-1</f>
        <v/>
      </c>
      <c r="I304" s="7" t="n"/>
      <c r="J304" s="1" t="n">
        <v>42822</v>
      </c>
      <c r="K304" s="25" t="n">
        <v>2913.48</v>
      </c>
      <c r="L304" s="1" t="n">
        <v>43187</v>
      </c>
      <c r="M304" s="25" t="n">
        <v>2780.04</v>
      </c>
      <c r="N304" s="26">
        <f>M304-K304</f>
        <v/>
      </c>
      <c r="O304" s="7">
        <f>(M304/K304)-1</f>
        <v/>
      </c>
      <c r="P304" s="4" t="n"/>
    </row>
    <row hidden="1" r="305" s="64" spans="1:23">
      <c r="A305" s="1" t="n">
        <v>42181</v>
      </c>
      <c r="B305" s="27" t="n">
        <v>2556.21</v>
      </c>
      <c r="C305" s="1" t="n">
        <v>42547</v>
      </c>
      <c r="D305" s="25" t="n">
        <v>2972.92</v>
      </c>
      <c r="E305" s="25" t="n"/>
      <c r="F305" s="25" t="n"/>
      <c r="G305" s="28">
        <f>D305-B305</f>
        <v/>
      </c>
      <c r="H305" s="10">
        <f>(D305/B305)-1</f>
        <v/>
      </c>
      <c r="I305" s="7" t="n"/>
      <c r="J305" s="1" t="n">
        <v>42822</v>
      </c>
      <c r="K305" s="25" t="n">
        <v>2913.48</v>
      </c>
      <c r="L305" s="1" t="n">
        <v>43187</v>
      </c>
      <c r="M305" s="25" t="n">
        <v>2780.04</v>
      </c>
      <c r="N305" s="26">
        <f>M305-K305</f>
        <v/>
      </c>
      <c r="O305" s="7">
        <f>(M305/K305)-1</f>
        <v/>
      </c>
      <c r="P305" s="4" t="n"/>
    </row>
    <row hidden="1" r="306" s="64" spans="1:23">
      <c r="A306" s="1" t="n">
        <v>42182</v>
      </c>
      <c r="B306" s="27" t="n">
        <v>2577</v>
      </c>
      <c r="C306" s="1" t="n">
        <v>42548</v>
      </c>
      <c r="D306" s="25" t="n">
        <v>2972.92</v>
      </c>
      <c r="E306" s="25" t="n"/>
      <c r="F306" s="25" t="n"/>
      <c r="G306" s="28">
        <f>D306-B306</f>
        <v/>
      </c>
      <c r="H306" s="10">
        <f>(D306/B306)-1</f>
        <v/>
      </c>
      <c r="I306" s="7" t="n"/>
      <c r="J306" s="1" t="n">
        <v>42822</v>
      </c>
      <c r="K306" s="25" t="n">
        <v>2913.48</v>
      </c>
      <c r="L306" s="1" t="n">
        <v>43187</v>
      </c>
      <c r="M306" s="25" t="n">
        <v>2780.04</v>
      </c>
      <c r="N306" s="26">
        <f>M306-K306</f>
        <v/>
      </c>
      <c r="O306" s="7">
        <f>(M306/K306)-1</f>
        <v/>
      </c>
      <c r="P306" s="4" t="n"/>
    </row>
    <row hidden="1" r="307" s="64" spans="1:23">
      <c r="A307" s="1" t="n">
        <v>42183</v>
      </c>
      <c r="B307" s="27" t="n">
        <v>2577</v>
      </c>
      <c r="C307" s="1" t="n">
        <v>42549</v>
      </c>
      <c r="D307" s="25" t="n">
        <v>3022.78</v>
      </c>
      <c r="E307" s="25" t="n"/>
      <c r="F307" s="25" t="n"/>
      <c r="G307" s="28">
        <f>D307-B307</f>
        <v/>
      </c>
      <c r="H307" s="10">
        <f>(D307/B307)-1</f>
        <v/>
      </c>
      <c r="I307" s="7" t="n"/>
      <c r="J307" s="1" t="n">
        <v>42822</v>
      </c>
      <c r="K307" s="25" t="n">
        <v>2913.48</v>
      </c>
      <c r="L307" s="1" t="n">
        <v>43187</v>
      </c>
      <c r="M307" s="25" t="n">
        <v>2780.04</v>
      </c>
      <c r="N307" s="26">
        <f>M307-K307</f>
        <v/>
      </c>
      <c r="O307" s="7">
        <f>(M307/K307)-1</f>
        <v/>
      </c>
      <c r="P307" s="4" t="n"/>
    </row>
    <row hidden="1" r="308" s="64" spans="1:23">
      <c r="A308" s="1" t="n">
        <v>42184</v>
      </c>
      <c r="B308" s="27" t="n">
        <v>2577</v>
      </c>
      <c r="C308" s="1" t="n">
        <v>42550</v>
      </c>
      <c r="D308" s="25" t="n">
        <v>3005.18</v>
      </c>
      <c r="E308" s="25" t="n"/>
      <c r="F308" s="25" t="n"/>
      <c r="G308" s="28">
        <f>D308-B308</f>
        <v/>
      </c>
      <c r="H308" s="10">
        <f>(D308/B308)-1</f>
        <v/>
      </c>
      <c r="I308" s="7" t="n"/>
      <c r="J308" s="1" t="n">
        <v>42822</v>
      </c>
      <c r="K308" s="25" t="n">
        <v>2913.48</v>
      </c>
      <c r="L308" s="1" t="n">
        <v>43187</v>
      </c>
      <c r="M308" s="25" t="n">
        <v>2780.04</v>
      </c>
      <c r="N308" s="26">
        <f>M308-K308</f>
        <v/>
      </c>
      <c r="O308" s="7">
        <f>(M308/K308)-1</f>
        <v/>
      </c>
      <c r="P308" s="4" t="n"/>
    </row>
    <row hidden="1" r="309" s="64" spans="1:23">
      <c r="A309" s="1" t="n">
        <v>42185</v>
      </c>
      <c r="B309" s="27" t="n">
        <v>2577</v>
      </c>
      <c r="C309" s="1" t="n">
        <v>42551</v>
      </c>
      <c r="D309" s="25" t="n">
        <v>2916.15</v>
      </c>
      <c r="E309" s="25" t="n"/>
      <c r="F309" s="25" t="n"/>
      <c r="G309" s="28">
        <f>D309-B309</f>
        <v/>
      </c>
      <c r="H309" s="10">
        <f>(D309/B309)-1</f>
        <v/>
      </c>
      <c r="I309" s="7" t="n"/>
      <c r="J309" s="1" t="n">
        <v>42822</v>
      </c>
      <c r="K309" s="25" t="n">
        <v>2913.48</v>
      </c>
      <c r="L309" s="1" t="n">
        <v>43187</v>
      </c>
      <c r="M309" s="25" t="n">
        <v>2780.04</v>
      </c>
      <c r="N309" s="26">
        <f>M309-K309</f>
        <v/>
      </c>
      <c r="O309" s="7">
        <f>(M309/K309)-1</f>
        <v/>
      </c>
      <c r="P309" s="4" t="n"/>
    </row>
    <row hidden="1" r="310" s="64" spans="1:23">
      <c r="A310" s="1" t="n">
        <v>42186</v>
      </c>
      <c r="B310" s="27" t="n">
        <v>2598.68</v>
      </c>
      <c r="C310" s="1" t="n">
        <v>42552</v>
      </c>
      <c r="D310" s="25" t="n">
        <v>2919.01</v>
      </c>
      <c r="E310" s="25" t="n"/>
      <c r="F310" s="25" t="n"/>
      <c r="G310" s="28">
        <f>D310-B310</f>
        <v/>
      </c>
      <c r="H310" s="10">
        <f>(D310/B310)-1</f>
        <v/>
      </c>
      <c r="I310" s="7" t="n"/>
      <c r="J310" s="1" t="n">
        <v>42822</v>
      </c>
      <c r="K310" s="25" t="n">
        <v>2913.48</v>
      </c>
      <c r="L310" s="1" t="n">
        <v>43187</v>
      </c>
      <c r="M310" s="25" t="n">
        <v>2780.04</v>
      </c>
      <c r="N310" s="26">
        <f>M310-K310</f>
        <v/>
      </c>
      <c r="O310" s="7">
        <f>(M310/K310)-1</f>
        <v/>
      </c>
      <c r="P310" s="4" t="n"/>
    </row>
    <row hidden="1" r="311" s="64" spans="1:23">
      <c r="A311" s="1" t="n">
        <v>42187</v>
      </c>
      <c r="B311" s="27" t="n">
        <v>2626.8</v>
      </c>
      <c r="C311" s="1" t="n">
        <v>42553</v>
      </c>
      <c r="D311" s="25" t="n">
        <v>2914.38</v>
      </c>
      <c r="E311" s="25" t="n"/>
      <c r="F311" s="25" t="n"/>
      <c r="G311" s="28">
        <f>D311-B311</f>
        <v/>
      </c>
      <c r="H311" s="10">
        <f>(D311/B311)-1</f>
        <v/>
      </c>
      <c r="I311" s="7" t="n"/>
      <c r="J311" s="1" t="n">
        <v>42822</v>
      </c>
      <c r="K311" s="25" t="n">
        <v>2913.48</v>
      </c>
      <c r="L311" s="1" t="n">
        <v>43187</v>
      </c>
      <c r="M311" s="25" t="n">
        <v>2780.04</v>
      </c>
      <c r="N311" s="26">
        <f>M311-K311</f>
        <v/>
      </c>
      <c r="O311" s="7">
        <f>(M311/K311)-1</f>
        <v/>
      </c>
      <c r="P311" s="4" t="n"/>
    </row>
    <row hidden="1" r="312" s="64" spans="1:23">
      <c r="A312" s="1" t="n">
        <v>42188</v>
      </c>
      <c r="B312" s="27" t="n">
        <v>2623.91</v>
      </c>
      <c r="C312" s="1" t="n">
        <v>42554</v>
      </c>
      <c r="D312" s="25" t="n">
        <v>2914.38</v>
      </c>
      <c r="E312" s="25" t="n"/>
      <c r="F312" s="25" t="n"/>
      <c r="G312" s="28">
        <f>D312-B312</f>
        <v/>
      </c>
      <c r="H312" s="10">
        <f>(D312/B312)-1</f>
        <v/>
      </c>
      <c r="I312" s="7" t="n"/>
      <c r="J312" s="1" t="n">
        <v>42822</v>
      </c>
      <c r="K312" s="25" t="n">
        <v>2913.48</v>
      </c>
      <c r="L312" s="1" t="n">
        <v>43187</v>
      </c>
      <c r="M312" s="25" t="n">
        <v>2780.04</v>
      </c>
      <c r="N312" s="26">
        <f>M312-K312</f>
        <v/>
      </c>
      <c r="O312" s="7">
        <f>(M312/K312)-1</f>
        <v/>
      </c>
      <c r="P312" s="4" t="n"/>
    </row>
    <row hidden="1" r="313" s="64" spans="1:23">
      <c r="A313" s="1" t="n">
        <v>42189</v>
      </c>
      <c r="B313" s="27" t="n">
        <v>2642.97</v>
      </c>
      <c r="C313" s="1" t="n">
        <v>42555</v>
      </c>
      <c r="D313" s="25" t="n">
        <v>2914.38</v>
      </c>
      <c r="E313" s="25" t="n"/>
      <c r="F313" s="25" t="n"/>
      <c r="G313" s="28">
        <f>D313-B313</f>
        <v/>
      </c>
      <c r="H313" s="10">
        <f>(D313/B313)-1</f>
        <v/>
      </c>
      <c r="I313" s="7" t="n"/>
      <c r="J313" s="1" t="n">
        <v>42822</v>
      </c>
      <c r="K313" s="25" t="n">
        <v>2913.48</v>
      </c>
      <c r="L313" s="1" t="n">
        <v>43187</v>
      </c>
      <c r="M313" s="25" t="n">
        <v>2780.04</v>
      </c>
      <c r="N313" s="26">
        <f>M313-K313</f>
        <v/>
      </c>
      <c r="O313" s="7">
        <f>(M313/K313)-1</f>
        <v/>
      </c>
      <c r="P313" s="4" t="n"/>
    </row>
    <row hidden="1" r="314" s="64" spans="1:23">
      <c r="A314" s="1" t="n">
        <v>42190</v>
      </c>
      <c r="B314" s="27" t="n">
        <v>2642.97</v>
      </c>
      <c r="C314" s="1" t="n">
        <v>42556</v>
      </c>
      <c r="D314" s="25" t="n">
        <v>2914.38</v>
      </c>
      <c r="E314" s="25" t="n"/>
      <c r="F314" s="25" t="n"/>
      <c r="G314" s="28">
        <f>D314-B314</f>
        <v/>
      </c>
      <c r="H314" s="10">
        <f>(D314/B314)-1</f>
        <v/>
      </c>
      <c r="I314" s="7" t="n"/>
      <c r="J314" s="1" t="n">
        <v>42822</v>
      </c>
      <c r="K314" s="25" t="n">
        <v>2913.48</v>
      </c>
      <c r="L314" s="1" t="n">
        <v>43187</v>
      </c>
      <c r="M314" s="25" t="n">
        <v>2780.04</v>
      </c>
      <c r="N314" s="26">
        <f>M314-K314</f>
        <v/>
      </c>
      <c r="O314" s="7">
        <f>(M314/K314)-1</f>
        <v/>
      </c>
      <c r="P314" s="4" t="n"/>
    </row>
    <row hidden="1" r="315" s="64" spans="1:23">
      <c r="A315" s="1" t="n">
        <v>42191</v>
      </c>
      <c r="B315" s="27" t="n">
        <v>2642.97</v>
      </c>
      <c r="C315" s="1" t="n">
        <v>42557</v>
      </c>
      <c r="D315" s="25" t="n">
        <v>2966.87</v>
      </c>
      <c r="E315" s="25" t="n"/>
      <c r="F315" s="25" t="n"/>
      <c r="G315" s="28">
        <f>D315-B315</f>
        <v/>
      </c>
      <c r="H315" s="10">
        <f>(D315/B315)-1</f>
        <v/>
      </c>
      <c r="I315" s="7" t="n"/>
      <c r="J315" s="1" t="n">
        <v>42822</v>
      </c>
      <c r="K315" s="25" t="n">
        <v>2913.48</v>
      </c>
      <c r="L315" s="1" t="n">
        <v>43187</v>
      </c>
      <c r="M315" s="25" t="n">
        <v>2780.04</v>
      </c>
      <c r="N315" s="26">
        <f>M315-K315</f>
        <v/>
      </c>
      <c r="O315" s="7">
        <f>(M315/K315)-1</f>
        <v/>
      </c>
      <c r="P315" s="4" t="n"/>
    </row>
    <row hidden="1" r="316" s="64" spans="1:23">
      <c r="A316" s="1" t="n">
        <v>42192</v>
      </c>
      <c r="B316" s="27" t="n">
        <v>2665.41</v>
      </c>
      <c r="C316" s="1" t="n">
        <v>42558</v>
      </c>
      <c r="D316" s="25" t="n">
        <v>3003.2</v>
      </c>
      <c r="E316" s="25" t="n"/>
      <c r="F316" s="25" t="n"/>
      <c r="G316" s="28">
        <f>D316-B316</f>
        <v/>
      </c>
      <c r="H316" s="10">
        <f>(D316/B316)-1</f>
        <v/>
      </c>
      <c r="I316" s="7" t="n"/>
      <c r="J316" s="1" t="n">
        <v>42822</v>
      </c>
      <c r="K316" s="25" t="n">
        <v>2913.48</v>
      </c>
      <c r="L316" s="1" t="n">
        <v>43187</v>
      </c>
      <c r="M316" s="25" t="n">
        <v>2780.04</v>
      </c>
      <c r="N316" s="26">
        <f>M316-K316</f>
        <v/>
      </c>
      <c r="O316" s="7">
        <f>(M316/K316)-1</f>
        <v/>
      </c>
      <c r="P316" s="4" t="n"/>
    </row>
    <row hidden="1" r="317" s="64" spans="1:23">
      <c r="A317" s="1" t="n">
        <v>42193</v>
      </c>
      <c r="B317" s="27" t="n">
        <v>2690.15</v>
      </c>
      <c r="C317" s="1" t="n">
        <v>42559</v>
      </c>
      <c r="D317" s="25" t="n">
        <v>2986.49</v>
      </c>
      <c r="E317" s="25" t="n"/>
      <c r="F317" s="25" t="n"/>
      <c r="G317" s="28">
        <f>D317-B317</f>
        <v/>
      </c>
      <c r="H317" s="10">
        <f>(D317/B317)-1</f>
        <v/>
      </c>
      <c r="I317" s="7" t="n"/>
      <c r="J317" s="1" t="n">
        <v>42822</v>
      </c>
      <c r="K317" s="25" t="n">
        <v>2913.48</v>
      </c>
      <c r="L317" s="1" t="n">
        <v>43187</v>
      </c>
      <c r="M317" s="25" t="n">
        <v>2780.04</v>
      </c>
      <c r="N317" s="26">
        <f>M317-K317</f>
        <v/>
      </c>
      <c r="O317" s="7">
        <f>(M317/K317)-1</f>
        <v/>
      </c>
      <c r="P317" s="4" t="n"/>
    </row>
    <row hidden="1" r="318" s="64" spans="1:23">
      <c r="A318" s="1" t="n">
        <v>42194</v>
      </c>
      <c r="B318" s="27" t="n">
        <v>2690.79</v>
      </c>
      <c r="C318" s="1" t="n">
        <v>42560</v>
      </c>
      <c r="D318" s="25" t="n">
        <v>2952.64</v>
      </c>
      <c r="E318" s="25" t="n"/>
      <c r="F318" s="25" t="n"/>
      <c r="G318" s="28">
        <f>D318-B318</f>
        <v/>
      </c>
      <c r="H318" s="10">
        <f>(D318/B318)-1</f>
        <v/>
      </c>
      <c r="I318" s="7" t="n"/>
      <c r="J318" s="1" t="n">
        <v>42822</v>
      </c>
      <c r="K318" s="25" t="n">
        <v>2913.48</v>
      </c>
      <c r="L318" s="1" t="n">
        <v>43187</v>
      </c>
      <c r="M318" s="25" t="n">
        <v>2780.04</v>
      </c>
      <c r="N318" s="26">
        <f>M318-K318</f>
        <v/>
      </c>
      <c r="O318" s="7">
        <f>(M318/K318)-1</f>
        <v/>
      </c>
      <c r="P318" s="4" t="n"/>
    </row>
    <row hidden="1" r="319" s="64" spans="1:23">
      <c r="A319" s="1" t="n">
        <v>42195</v>
      </c>
      <c r="B319" s="27" t="n">
        <v>2670.79</v>
      </c>
      <c r="C319" s="1" t="n">
        <v>42561</v>
      </c>
      <c r="D319" s="25" t="n">
        <v>2952.64</v>
      </c>
      <c r="E319" s="25" t="n"/>
      <c r="F319" s="25" t="n"/>
      <c r="G319" s="28">
        <f>D319-B319</f>
        <v/>
      </c>
      <c r="H319" s="10">
        <f>(D319/B319)-1</f>
        <v/>
      </c>
      <c r="I319" s="7" t="n"/>
      <c r="J319" s="1" t="n">
        <v>42822</v>
      </c>
      <c r="K319" s="25" t="n">
        <v>2913.48</v>
      </c>
      <c r="L319" s="1" t="n">
        <v>43187</v>
      </c>
      <c r="M319" s="25" t="n">
        <v>2780.04</v>
      </c>
      <c r="N319" s="26">
        <f>M319-K319</f>
        <v/>
      </c>
      <c r="O319" s="7">
        <f>(M319/K319)-1</f>
        <v/>
      </c>
      <c r="P319" s="4" t="n"/>
    </row>
    <row hidden="1" r="320" s="64" spans="1:23">
      <c r="A320" s="1" t="n">
        <v>42196</v>
      </c>
      <c r="B320" s="27" t="n">
        <v>2667.37</v>
      </c>
      <c r="C320" s="1" t="n">
        <v>42562</v>
      </c>
      <c r="D320" s="25" t="n">
        <v>2952.64</v>
      </c>
      <c r="E320" s="25" t="n"/>
      <c r="F320" s="25" t="n"/>
      <c r="G320" s="28">
        <f>D320-B320</f>
        <v/>
      </c>
      <c r="H320" s="10">
        <f>(D320/B320)-1</f>
        <v/>
      </c>
      <c r="I320" s="7" t="n"/>
      <c r="J320" s="1" t="n">
        <v>42822</v>
      </c>
      <c r="K320" s="25" t="n">
        <v>2913.48</v>
      </c>
      <c r="L320" s="1" t="n">
        <v>43187</v>
      </c>
      <c r="M320" s="25" t="n">
        <v>2780.04</v>
      </c>
      <c r="N320" s="26">
        <f>M320-K320</f>
        <v/>
      </c>
      <c r="O320" s="7">
        <f>(M320/K320)-1</f>
        <v/>
      </c>
      <c r="P320" s="4" t="n"/>
    </row>
    <row hidden="1" r="321" s="64" spans="1:23">
      <c r="A321" s="1" t="n">
        <v>42197</v>
      </c>
      <c r="B321" s="27" t="n">
        <v>2667.37</v>
      </c>
      <c r="C321" s="1" t="n">
        <v>42563</v>
      </c>
      <c r="D321" s="25" t="n">
        <v>2929.81</v>
      </c>
      <c r="E321" s="25" t="n"/>
      <c r="F321" s="25" t="n"/>
      <c r="G321" s="28">
        <f>D321-B321</f>
        <v/>
      </c>
      <c r="H321" s="10">
        <f>(D321/B321)-1</f>
        <v/>
      </c>
      <c r="I321" s="7" t="n"/>
      <c r="J321" s="1" t="n">
        <v>42822</v>
      </c>
      <c r="K321" s="25" t="n">
        <v>2913.48</v>
      </c>
      <c r="L321" s="1" t="n">
        <v>43187</v>
      </c>
      <c r="M321" s="25" t="n">
        <v>2780.04</v>
      </c>
      <c r="N321" s="26">
        <f>M321-K321</f>
        <v/>
      </c>
      <c r="O321" s="7">
        <f>(M321/K321)-1</f>
        <v/>
      </c>
      <c r="P321" s="4" t="n"/>
    </row>
    <row hidden="1" r="322" s="64" spans="1:23">
      <c r="A322" s="1" t="n">
        <v>42198</v>
      </c>
      <c r="B322" s="27" t="n">
        <v>2667.37</v>
      </c>
      <c r="C322" s="1" t="n">
        <v>42564</v>
      </c>
      <c r="D322" s="25" t="n">
        <v>2911.91</v>
      </c>
      <c r="E322" s="25" t="n"/>
      <c r="F322" s="25" t="n"/>
      <c r="G322" s="28">
        <f>D322-B322</f>
        <v/>
      </c>
      <c r="H322" s="10">
        <f>(D322/B322)-1</f>
        <v/>
      </c>
      <c r="I322" s="7" t="n"/>
      <c r="J322" s="1" t="n">
        <v>42822</v>
      </c>
      <c r="K322" s="25" t="n">
        <v>2913.48</v>
      </c>
      <c r="L322" s="1" t="n">
        <v>43187</v>
      </c>
      <c r="M322" s="25" t="n">
        <v>2780.04</v>
      </c>
      <c r="N322" s="26">
        <f>M322-K322</f>
        <v/>
      </c>
      <c r="O322" s="7">
        <f>(M322/K322)-1</f>
        <v/>
      </c>
      <c r="P322" s="4" t="n"/>
    </row>
    <row hidden="1" r="323" s="64" spans="1:23">
      <c r="A323" s="1" t="n">
        <v>42199</v>
      </c>
      <c r="B323" s="27" t="n">
        <v>2693.54</v>
      </c>
      <c r="C323" s="1" t="n">
        <v>42565</v>
      </c>
      <c r="D323" s="25" t="n">
        <v>2936.53</v>
      </c>
      <c r="E323" s="25" t="n"/>
      <c r="F323" s="25" t="n"/>
      <c r="G323" s="28">
        <f>D323-B323</f>
        <v/>
      </c>
      <c r="H323" s="10">
        <f>(D323/B323)-1</f>
        <v/>
      </c>
      <c r="I323" s="7" t="n"/>
      <c r="J323" s="1" t="n">
        <v>42822</v>
      </c>
      <c r="K323" s="25" t="n">
        <v>2913.48</v>
      </c>
      <c r="L323" s="1" t="n">
        <v>43187</v>
      </c>
      <c r="M323" s="25" t="n">
        <v>2780.04</v>
      </c>
      <c r="N323" s="26">
        <f>M323-K323</f>
        <v/>
      </c>
      <c r="O323" s="7">
        <f>(M323/K323)-1</f>
        <v/>
      </c>
      <c r="P323" s="4" t="n"/>
    </row>
    <row hidden="1" r="324" s="64" spans="1:23">
      <c r="A324" s="1" t="n">
        <v>42200</v>
      </c>
      <c r="B324" s="27" t="n">
        <v>2688.2</v>
      </c>
      <c r="C324" s="1" t="n">
        <v>42566</v>
      </c>
      <c r="D324" s="25" t="n">
        <v>2923.07</v>
      </c>
      <c r="E324" s="25" t="n"/>
      <c r="F324" s="25" t="n"/>
      <c r="G324" s="28">
        <f>D324-B324</f>
        <v/>
      </c>
      <c r="H324" s="10">
        <f>(D324/B324)-1</f>
        <v/>
      </c>
      <c r="I324" s="7" t="n"/>
      <c r="J324" s="1" t="n">
        <v>42822</v>
      </c>
      <c r="K324" s="25" t="n">
        <v>2913.48</v>
      </c>
      <c r="L324" s="1" t="n">
        <v>43187</v>
      </c>
      <c r="M324" s="25" t="n">
        <v>2780.04</v>
      </c>
      <c r="N324" s="26">
        <f>M324-K324</f>
        <v/>
      </c>
      <c r="O324" s="7">
        <f>(M324/K324)-1</f>
        <v/>
      </c>
      <c r="P324" s="4" t="n"/>
    </row>
    <row hidden="1" r="325" s="64" spans="1:23">
      <c r="A325" s="1" t="n">
        <v>42201</v>
      </c>
      <c r="B325" s="27" t="n">
        <v>2713.04</v>
      </c>
      <c r="C325" s="1" t="n">
        <v>42567</v>
      </c>
      <c r="D325" s="25" t="n">
        <v>2923.46</v>
      </c>
      <c r="E325" s="25" t="n"/>
      <c r="F325" s="25" t="n"/>
      <c r="G325" s="28">
        <f>D325-B325</f>
        <v/>
      </c>
      <c r="H325" s="10">
        <f>(D325/B325)-1</f>
        <v/>
      </c>
      <c r="I325" s="7" t="n"/>
      <c r="J325" s="1" t="n">
        <v>42822</v>
      </c>
      <c r="K325" s="25" t="n">
        <v>2913.48</v>
      </c>
      <c r="L325" s="1" t="n">
        <v>43187</v>
      </c>
      <c r="M325" s="25" t="n">
        <v>2780.04</v>
      </c>
      <c r="N325" s="26">
        <f>M325-K325</f>
        <v/>
      </c>
      <c r="O325" s="7">
        <f>(M325/K325)-1</f>
        <v/>
      </c>
      <c r="P325" s="4" t="n"/>
    </row>
    <row hidden="1" r="326" s="64" spans="1:23">
      <c r="A326" s="1" t="n">
        <v>42202</v>
      </c>
      <c r="B326" s="27" t="n">
        <v>2727.23</v>
      </c>
      <c r="C326" s="1" t="n">
        <v>42568</v>
      </c>
      <c r="D326" s="25" t="n">
        <v>2923.46</v>
      </c>
      <c r="E326" s="25" t="n"/>
      <c r="F326" s="25" t="n"/>
      <c r="G326" s="28">
        <f>D326-B326</f>
        <v/>
      </c>
      <c r="H326" s="10">
        <f>(D326/B326)-1</f>
        <v/>
      </c>
      <c r="I326" s="7" t="n"/>
      <c r="J326" s="1" t="n">
        <v>42822</v>
      </c>
      <c r="K326" s="25" t="n">
        <v>2913.48</v>
      </c>
      <c r="L326" s="1" t="n">
        <v>43187</v>
      </c>
      <c r="M326" s="25" t="n">
        <v>2780.04</v>
      </c>
      <c r="N326" s="26">
        <f>M326-K326</f>
        <v/>
      </c>
      <c r="O326" s="7">
        <f>(M326/K326)-1</f>
        <v/>
      </c>
      <c r="P326" s="4" t="n"/>
    </row>
    <row hidden="1" r="327" s="64" spans="1:23">
      <c r="A327" s="1" t="n">
        <v>42203</v>
      </c>
      <c r="B327" s="27" t="n">
        <v>2751.88</v>
      </c>
      <c r="C327" s="1" t="n">
        <v>42569</v>
      </c>
      <c r="D327" s="25" t="n">
        <v>2923.46</v>
      </c>
      <c r="E327" s="25" t="n"/>
      <c r="F327" s="25" t="n"/>
      <c r="G327" s="28">
        <f>D327-B327</f>
        <v/>
      </c>
      <c r="H327" s="10">
        <f>(D327/B327)-1</f>
        <v/>
      </c>
      <c r="I327" s="7" t="n"/>
      <c r="J327" s="1" t="n">
        <v>42822</v>
      </c>
      <c r="K327" s="25" t="n">
        <v>2913.48</v>
      </c>
      <c r="L327" s="1" t="n">
        <v>43187</v>
      </c>
      <c r="M327" s="25" t="n">
        <v>2780.04</v>
      </c>
      <c r="N327" s="26">
        <f>M327-K327</f>
        <v/>
      </c>
      <c r="O327" s="7">
        <f>(M327/K327)-1</f>
        <v/>
      </c>
      <c r="P327" s="4" t="n"/>
    </row>
    <row hidden="1" r="328" s="64" spans="1:23">
      <c r="A328" s="1" t="n">
        <v>42204</v>
      </c>
      <c r="B328" s="27" t="n">
        <v>2751.88</v>
      </c>
      <c r="C328" s="1" t="n">
        <v>42570</v>
      </c>
      <c r="D328" s="25" t="n">
        <v>2928.3</v>
      </c>
      <c r="E328" s="25" t="n"/>
      <c r="F328" s="25" t="n"/>
      <c r="G328" s="28">
        <f>D328-B328</f>
        <v/>
      </c>
      <c r="H328" s="10">
        <f>(D328/B328)-1</f>
        <v/>
      </c>
      <c r="I328" s="7" t="n"/>
      <c r="J328" s="1" t="n">
        <v>42822</v>
      </c>
      <c r="K328" s="25" t="n">
        <v>2913.48</v>
      </c>
      <c r="L328" s="1" t="n">
        <v>43187</v>
      </c>
      <c r="M328" s="25" t="n">
        <v>2780.04</v>
      </c>
      <c r="N328" s="26">
        <f>M328-K328</f>
        <v/>
      </c>
      <c r="O328" s="7">
        <f>(M328/K328)-1</f>
        <v/>
      </c>
      <c r="P328" s="4" t="n"/>
    </row>
    <row hidden="1" r="329" s="64" spans="1:23">
      <c r="A329" s="1" t="n">
        <v>42205</v>
      </c>
      <c r="B329" s="27" t="n">
        <v>2751.88</v>
      </c>
      <c r="C329" s="1" t="n">
        <v>42571</v>
      </c>
      <c r="D329" s="25" t="n">
        <v>2931.08</v>
      </c>
      <c r="E329" s="25" t="n"/>
      <c r="F329" s="25" t="n"/>
      <c r="G329" s="28">
        <f>D329-B329</f>
        <v/>
      </c>
      <c r="H329" s="10">
        <f>(D329/B329)-1</f>
        <v/>
      </c>
      <c r="I329" s="7" t="n"/>
      <c r="J329" s="1" t="n">
        <v>42822</v>
      </c>
      <c r="K329" s="25" t="n">
        <v>2913.48</v>
      </c>
      <c r="L329" s="1" t="n">
        <v>43187</v>
      </c>
      <c r="M329" s="25" t="n">
        <v>2780.04</v>
      </c>
      <c r="N329" s="26">
        <f>M329-K329</f>
        <v/>
      </c>
      <c r="O329" s="7">
        <f>(M329/K329)-1</f>
        <v/>
      </c>
      <c r="P329" s="4" t="n"/>
    </row>
    <row hidden="1" r="330" s="64" spans="1:23">
      <c r="A330" s="1" t="n">
        <v>42206</v>
      </c>
      <c r="B330" s="27" t="n">
        <v>2751.88</v>
      </c>
      <c r="C330" s="1" t="n">
        <v>42572</v>
      </c>
      <c r="D330" s="25" t="n">
        <v>2931.08</v>
      </c>
      <c r="E330" s="25" t="n"/>
      <c r="F330" s="25" t="n"/>
      <c r="G330" s="28">
        <f>D330-B330</f>
        <v/>
      </c>
      <c r="H330" s="10">
        <f>(D330/B330)-1</f>
        <v/>
      </c>
      <c r="I330" s="7" t="n"/>
      <c r="J330" s="1" t="n">
        <v>42822</v>
      </c>
      <c r="K330" s="25" t="n">
        <v>2913.48</v>
      </c>
      <c r="L330" s="1" t="n">
        <v>43187</v>
      </c>
      <c r="M330" s="25" t="n">
        <v>2780.04</v>
      </c>
      <c r="N330" s="26">
        <f>M330-K330</f>
        <v/>
      </c>
      <c r="O330" s="7">
        <f>(M330/K330)-1</f>
        <v/>
      </c>
      <c r="P330" s="4" t="n"/>
    </row>
    <row hidden="1" r="331" s="64" spans="1:23">
      <c r="A331" s="1" t="n">
        <v>42207</v>
      </c>
      <c r="B331" s="27" t="n">
        <v>2765.1</v>
      </c>
      <c r="C331" s="1" t="n">
        <v>42573</v>
      </c>
      <c r="D331" s="25" t="n">
        <v>2928.67</v>
      </c>
      <c r="E331" s="25" t="n"/>
      <c r="F331" s="25" t="n"/>
      <c r="G331" s="28">
        <f>D331-B331</f>
        <v/>
      </c>
      <c r="H331" s="10">
        <f>(D331/B331)-1</f>
        <v/>
      </c>
      <c r="I331" s="7" t="n"/>
      <c r="J331" s="1" t="n">
        <v>42822</v>
      </c>
      <c r="K331" s="25" t="n">
        <v>2913.48</v>
      </c>
      <c r="L331" s="1" t="n">
        <v>43187</v>
      </c>
      <c r="M331" s="25" t="n">
        <v>2780.04</v>
      </c>
      <c r="N331" s="26">
        <f>M331-K331</f>
        <v/>
      </c>
      <c r="O331" s="7">
        <f>(M331/K331)-1</f>
        <v/>
      </c>
      <c r="P331" s="4" t="n"/>
    </row>
    <row hidden="1" r="332" s="64" spans="1:23">
      <c r="A332" s="1" t="n">
        <v>42208</v>
      </c>
      <c r="B332" s="27" t="n">
        <v>2790.26</v>
      </c>
      <c r="C332" s="1" t="n">
        <v>42574</v>
      </c>
      <c r="D332" s="25" t="n">
        <v>2942.65</v>
      </c>
      <c r="E332" s="25" t="n"/>
      <c r="F332" s="25" t="n"/>
      <c r="G332" s="28">
        <f>D332-B332</f>
        <v/>
      </c>
      <c r="H332" s="10">
        <f>(D332/B332)-1</f>
        <v/>
      </c>
      <c r="I332" s="7" t="n"/>
      <c r="J332" s="1" t="n">
        <v>42822</v>
      </c>
      <c r="K332" s="25" t="n">
        <v>2913.48</v>
      </c>
      <c r="L332" s="1" t="n">
        <v>43187</v>
      </c>
      <c r="M332" s="25" t="n">
        <v>2780.04</v>
      </c>
      <c r="N332" s="26">
        <f>M332-K332</f>
        <v/>
      </c>
      <c r="O332" s="7">
        <f>(M332/K332)-1</f>
        <v/>
      </c>
      <c r="P332" s="4" t="n"/>
    </row>
    <row hidden="1" r="333" s="64" spans="1:23">
      <c r="A333" s="1" t="n">
        <v>42209</v>
      </c>
      <c r="B333" s="27" t="n">
        <v>2807.36</v>
      </c>
      <c r="C333" s="1" t="n">
        <v>42575</v>
      </c>
      <c r="D333" s="25" t="n">
        <v>2942.65</v>
      </c>
      <c r="E333" s="25" t="n"/>
      <c r="F333" s="25" t="n"/>
      <c r="G333" s="28">
        <f>D333-B333</f>
        <v/>
      </c>
      <c r="H333" s="10">
        <f>(D333/B333)-1</f>
        <v/>
      </c>
      <c r="I333" s="7" t="n"/>
      <c r="J333" s="1" t="n">
        <v>42822</v>
      </c>
      <c r="K333" s="25" t="n">
        <v>2913.48</v>
      </c>
      <c r="L333" s="1" t="n">
        <v>43187</v>
      </c>
      <c r="M333" s="25" t="n">
        <v>2780.04</v>
      </c>
      <c r="N333" s="26">
        <f>M333-K333</f>
        <v/>
      </c>
      <c r="O333" s="7">
        <f>(M333/K333)-1</f>
        <v/>
      </c>
      <c r="P333" s="4" t="n"/>
    </row>
    <row hidden="1" r="334" s="64" spans="1:23">
      <c r="A334" s="1" t="n">
        <v>42210</v>
      </c>
      <c r="B334" s="27" t="n">
        <v>2857.46</v>
      </c>
      <c r="C334" s="1" t="n">
        <v>42576</v>
      </c>
      <c r="D334" s="25" t="n">
        <v>2942.65</v>
      </c>
      <c r="E334" s="25" t="n"/>
      <c r="F334" s="25" t="n"/>
      <c r="G334" s="28">
        <f>D334-B334</f>
        <v/>
      </c>
      <c r="H334" s="10">
        <f>(D334/B334)-1</f>
        <v/>
      </c>
      <c r="I334" s="7" t="n"/>
      <c r="J334" s="1" t="n">
        <v>42822</v>
      </c>
      <c r="K334" s="25" t="n">
        <v>2913.48</v>
      </c>
      <c r="L334" s="1" t="n">
        <v>43187</v>
      </c>
      <c r="M334" s="25" t="n">
        <v>2780.04</v>
      </c>
      <c r="N334" s="26">
        <f>M334-K334</f>
        <v/>
      </c>
      <c r="O334" s="7">
        <f>(M334/K334)-1</f>
        <v/>
      </c>
      <c r="P334" s="4" t="n"/>
    </row>
    <row hidden="1" r="335" s="64" spans="1:23">
      <c r="A335" s="1" t="n">
        <v>42211</v>
      </c>
      <c r="B335" s="27" t="n">
        <v>2857.46</v>
      </c>
      <c r="C335" s="1" t="n">
        <v>42577</v>
      </c>
      <c r="D335" s="25" t="n">
        <v>2997.25</v>
      </c>
      <c r="E335" s="25" t="n"/>
      <c r="F335" s="25" t="n"/>
      <c r="G335" s="28">
        <f>D335-B335</f>
        <v/>
      </c>
      <c r="H335" s="10">
        <f>(D335/B335)-1</f>
        <v/>
      </c>
      <c r="I335" s="7" t="n"/>
      <c r="J335" s="1" t="n">
        <v>42822</v>
      </c>
      <c r="K335" s="25" t="n">
        <v>2913.48</v>
      </c>
      <c r="L335" s="1" t="n">
        <v>43187</v>
      </c>
      <c r="M335" s="25" t="n">
        <v>2780.04</v>
      </c>
      <c r="N335" s="26">
        <f>M335-K335</f>
        <v/>
      </c>
      <c r="O335" s="7">
        <f>(M335/K335)-1</f>
        <v/>
      </c>
      <c r="P335" s="4" t="n"/>
    </row>
    <row hidden="1" r="336" s="64" spans="1:23">
      <c r="A336" s="1" t="n">
        <v>42212</v>
      </c>
      <c r="B336" s="27" t="n">
        <v>2857.46</v>
      </c>
      <c r="C336" s="1" t="n">
        <v>42578</v>
      </c>
      <c r="D336" s="25" t="n">
        <v>3055.15</v>
      </c>
      <c r="E336" s="25" t="n"/>
      <c r="F336" s="25" t="n"/>
      <c r="G336" s="28">
        <f>D336-B336</f>
        <v/>
      </c>
      <c r="H336" s="10">
        <f>(D336/B336)-1</f>
        <v/>
      </c>
      <c r="I336" s="7" t="n"/>
      <c r="J336" s="1" t="n">
        <v>42822</v>
      </c>
      <c r="K336" s="25" t="n">
        <v>2913.48</v>
      </c>
      <c r="L336" s="1" t="n">
        <v>43187</v>
      </c>
      <c r="M336" s="25" t="n">
        <v>2780.04</v>
      </c>
      <c r="N336" s="26">
        <f>M336-K336</f>
        <v/>
      </c>
      <c r="O336" s="7">
        <f>(M336/K336)-1</f>
        <v/>
      </c>
      <c r="P336" s="4" t="n"/>
    </row>
    <row hidden="1" r="337" s="64" spans="1:23">
      <c r="A337" s="1" t="n">
        <v>42213</v>
      </c>
      <c r="B337" s="27" t="n">
        <v>2854.13</v>
      </c>
      <c r="C337" s="1" t="n">
        <v>42579</v>
      </c>
      <c r="D337" s="25" t="n">
        <v>3073.52</v>
      </c>
      <c r="E337" s="25" t="n"/>
      <c r="F337" s="25" t="n"/>
      <c r="G337" s="28">
        <f>D337-B337</f>
        <v/>
      </c>
      <c r="H337" s="10">
        <f>(D337/B337)-1</f>
        <v/>
      </c>
      <c r="I337" s="7" t="n"/>
      <c r="J337" s="1" t="n">
        <v>42822</v>
      </c>
      <c r="K337" s="25" t="n">
        <v>2913.48</v>
      </c>
      <c r="L337" s="1" t="n">
        <v>43187</v>
      </c>
      <c r="M337" s="25" t="n">
        <v>2780.04</v>
      </c>
      <c r="N337" s="26">
        <f>M337-K337</f>
        <v/>
      </c>
      <c r="O337" s="7">
        <f>(M337/K337)-1</f>
        <v/>
      </c>
      <c r="P337" s="4" t="n"/>
    </row>
    <row hidden="1" r="338" s="64" spans="1:23">
      <c r="A338" s="1" t="n">
        <v>42214</v>
      </c>
      <c r="B338" s="27" t="n">
        <v>2855.44</v>
      </c>
      <c r="C338" s="1" t="n">
        <v>42580</v>
      </c>
      <c r="D338" s="25" t="n">
        <v>3091.78</v>
      </c>
      <c r="E338" s="25" t="n"/>
      <c r="F338" s="25" t="n"/>
      <c r="G338" s="28">
        <f>D338-B338</f>
        <v/>
      </c>
      <c r="H338" s="10">
        <f>(D338/B338)-1</f>
        <v/>
      </c>
      <c r="I338" s="7" t="n"/>
      <c r="J338" s="1" t="n">
        <v>42822</v>
      </c>
      <c r="K338" s="25" t="n">
        <v>2913.48</v>
      </c>
      <c r="L338" s="1" t="n">
        <v>43187</v>
      </c>
      <c r="M338" s="25" t="n">
        <v>2780.04</v>
      </c>
      <c r="N338" s="26">
        <f>M338-K338</f>
        <v/>
      </c>
      <c r="O338" s="7">
        <f>(M338/K338)-1</f>
        <v/>
      </c>
      <c r="P338" s="4" t="n"/>
    </row>
    <row hidden="1" r="339" s="64" spans="1:23">
      <c r="A339" s="1" t="n">
        <v>42215</v>
      </c>
      <c r="B339" s="27" t="n">
        <v>2855.32</v>
      </c>
      <c r="C339" s="1" t="n">
        <v>42581</v>
      </c>
      <c r="D339" s="25" t="n">
        <v>3081.75</v>
      </c>
      <c r="E339" s="25" t="n"/>
      <c r="F339" s="25" t="n"/>
      <c r="G339" s="28">
        <f>D339-B339</f>
        <v/>
      </c>
      <c r="H339" s="10">
        <f>(D339/B339)-1</f>
        <v/>
      </c>
      <c r="I339" s="7" t="n"/>
      <c r="J339" s="1" t="n">
        <v>42822</v>
      </c>
      <c r="K339" s="25" t="n">
        <v>2913.48</v>
      </c>
      <c r="L339" s="1" t="n">
        <v>43187</v>
      </c>
      <c r="M339" s="25" t="n">
        <v>2780.04</v>
      </c>
      <c r="N339" s="26">
        <f>M339-K339</f>
        <v/>
      </c>
      <c r="O339" s="7">
        <f>(M339/K339)-1</f>
        <v/>
      </c>
      <c r="P339" s="4" t="n"/>
    </row>
    <row hidden="1" r="340" s="64" spans="1:23">
      <c r="A340" s="1" t="n">
        <v>42216</v>
      </c>
      <c r="B340" s="27" t="n">
        <v>2866.04</v>
      </c>
      <c r="C340" s="1" t="n">
        <v>42582</v>
      </c>
      <c r="D340" s="25" t="n">
        <v>3081.75</v>
      </c>
      <c r="E340" s="25" t="n"/>
      <c r="F340" s="25" t="n"/>
      <c r="G340" s="28">
        <f>D340-B340</f>
        <v/>
      </c>
      <c r="H340" s="10">
        <f>(D340/B340)-1</f>
        <v/>
      </c>
      <c r="I340" s="7" t="n"/>
      <c r="J340" s="1" t="n">
        <v>42822</v>
      </c>
      <c r="K340" s="25" t="n">
        <v>2913.48</v>
      </c>
      <c r="L340" s="1" t="n">
        <v>43187</v>
      </c>
      <c r="M340" s="25" t="n">
        <v>2780.04</v>
      </c>
      <c r="N340" s="26">
        <f>M340-K340</f>
        <v/>
      </c>
      <c r="O340" s="7">
        <f>(M340/K340)-1</f>
        <v/>
      </c>
      <c r="P340" s="4" t="n"/>
    </row>
    <row hidden="1" r="341" s="64" spans="1:23">
      <c r="A341" s="1" t="n">
        <v>42217</v>
      </c>
      <c r="B341" s="27" t="n">
        <v>2862.51</v>
      </c>
      <c r="C341" s="1" t="n">
        <v>42583</v>
      </c>
      <c r="D341" s="25" t="n">
        <v>3081.75</v>
      </c>
      <c r="E341" s="25" t="n"/>
      <c r="F341" s="25" t="n"/>
      <c r="G341" s="28">
        <f>D341-B341</f>
        <v/>
      </c>
      <c r="H341" s="10">
        <f>(D341/B341)-1</f>
        <v/>
      </c>
      <c r="I341" s="7" t="n"/>
      <c r="J341" s="1" t="n">
        <v>42822</v>
      </c>
      <c r="K341" s="25" t="n">
        <v>2913.48</v>
      </c>
      <c r="L341" s="1" t="n">
        <v>43187</v>
      </c>
      <c r="M341" s="25" t="n">
        <v>2780.04</v>
      </c>
      <c r="N341" s="26">
        <f>M341-K341</f>
        <v/>
      </c>
      <c r="O341" s="7">
        <f>(M341/K341)-1</f>
        <v/>
      </c>
      <c r="P341" s="4" t="n"/>
    </row>
    <row hidden="1" r="342" s="64" spans="1:23">
      <c r="A342" s="1" t="n">
        <v>42218</v>
      </c>
      <c r="B342" s="27" t="n">
        <v>2862.51</v>
      </c>
      <c r="C342" s="1" t="n">
        <v>42584</v>
      </c>
      <c r="D342" s="25" t="n">
        <v>3090.28</v>
      </c>
      <c r="E342" s="25" t="n"/>
      <c r="F342" s="25" t="n"/>
      <c r="G342" s="28">
        <f>D342-B342</f>
        <v/>
      </c>
      <c r="H342" s="10">
        <f>(D342/B342)-1</f>
        <v/>
      </c>
      <c r="I342" s="7" t="n"/>
      <c r="J342" s="1" t="n">
        <v>42822</v>
      </c>
      <c r="K342" s="25" t="n">
        <v>2913.48</v>
      </c>
      <c r="L342" s="1" t="n">
        <v>43187</v>
      </c>
      <c r="M342" s="25" t="n">
        <v>2780.04</v>
      </c>
      <c r="N342" s="26">
        <f>M342-K342</f>
        <v/>
      </c>
      <c r="O342" s="7">
        <f>(M342/K342)-1</f>
        <v/>
      </c>
      <c r="P342" s="4" t="n"/>
    </row>
    <row hidden="1" r="343" s="64" spans="1:23">
      <c r="A343" s="1" t="n">
        <v>42219</v>
      </c>
      <c r="B343" s="27" t="n">
        <v>2862.51</v>
      </c>
      <c r="C343" s="1" t="n">
        <v>42585</v>
      </c>
      <c r="D343" s="25" t="n">
        <v>3084.41</v>
      </c>
      <c r="E343" s="25" t="n"/>
      <c r="F343" s="25" t="n"/>
      <c r="G343" s="28">
        <f>D343-B343</f>
        <v/>
      </c>
      <c r="H343" s="10">
        <f>(D343/B343)-1</f>
        <v/>
      </c>
      <c r="I343" s="7" t="n"/>
      <c r="J343" s="1" t="n">
        <v>42822</v>
      </c>
      <c r="K343" s="25" t="n">
        <v>2913.48</v>
      </c>
      <c r="L343" s="1" t="n">
        <v>43187</v>
      </c>
      <c r="M343" s="25" t="n">
        <v>2780.04</v>
      </c>
      <c r="N343" s="26">
        <f>M343-K343</f>
        <v/>
      </c>
      <c r="O343" s="7">
        <f>(M343/K343)-1</f>
        <v/>
      </c>
      <c r="P343" s="4" t="n"/>
    </row>
    <row hidden="1" r="344" s="64" spans="1:23">
      <c r="A344" s="1" t="n">
        <v>42220</v>
      </c>
      <c r="B344" s="27" t="n">
        <v>2902.98</v>
      </c>
      <c r="C344" s="1" t="n">
        <v>42586</v>
      </c>
      <c r="D344" s="25" t="n">
        <v>3110.43</v>
      </c>
      <c r="E344" s="25" t="n"/>
      <c r="F344" s="25" t="n"/>
      <c r="G344" s="28">
        <f>D344-B344</f>
        <v/>
      </c>
      <c r="H344" s="10">
        <f>(D344/B344)-1</f>
        <v/>
      </c>
      <c r="I344" s="7" t="n"/>
      <c r="J344" s="1" t="n">
        <v>42822</v>
      </c>
      <c r="K344" s="25" t="n">
        <v>2913.48</v>
      </c>
      <c r="L344" s="1" t="n">
        <v>43187</v>
      </c>
      <c r="M344" s="25" t="n">
        <v>2780.04</v>
      </c>
      <c r="N344" s="26">
        <f>M344-K344</f>
        <v/>
      </c>
      <c r="O344" s="7">
        <f>(M344/K344)-1</f>
        <v/>
      </c>
      <c r="P344" s="4" t="n"/>
    </row>
    <row hidden="1" r="345" s="64" spans="1:23">
      <c r="A345" s="1" t="n">
        <v>42221</v>
      </c>
      <c r="B345" s="27" t="n">
        <v>2906.95</v>
      </c>
      <c r="C345" s="1" t="n">
        <v>42587</v>
      </c>
      <c r="D345" s="25" t="n">
        <v>3079.83</v>
      </c>
      <c r="E345" s="25" t="n"/>
      <c r="F345" s="25" t="n"/>
      <c r="G345" s="28">
        <f>D345-B345</f>
        <v/>
      </c>
      <c r="H345" s="10">
        <f>(D345/B345)-1</f>
        <v/>
      </c>
      <c r="I345" s="7" t="n"/>
      <c r="J345" s="1" t="n">
        <v>42822</v>
      </c>
      <c r="K345" s="25" t="n">
        <v>2913.48</v>
      </c>
      <c r="L345" s="1" t="n">
        <v>43187</v>
      </c>
      <c r="M345" s="25" t="n">
        <v>2780.04</v>
      </c>
      <c r="N345" s="26">
        <f>M345-K345</f>
        <v/>
      </c>
      <c r="O345" s="7">
        <f>(M345/K345)-1</f>
        <v/>
      </c>
      <c r="P345" s="4" t="n"/>
    </row>
    <row hidden="1" r="346" s="64" spans="1:23">
      <c r="A346" s="1" t="n">
        <v>42222</v>
      </c>
      <c r="B346" s="27" t="n">
        <v>2945.97</v>
      </c>
      <c r="C346" s="1" t="n">
        <v>42588</v>
      </c>
      <c r="D346" s="25" t="n">
        <v>3052.8</v>
      </c>
      <c r="E346" s="25" t="n"/>
      <c r="F346" s="25" t="n"/>
      <c r="G346" s="28">
        <f>D346-B346</f>
        <v/>
      </c>
      <c r="H346" s="10">
        <f>(D346/B346)-1</f>
        <v/>
      </c>
      <c r="I346" s="7" t="n"/>
      <c r="J346" s="1" t="n">
        <v>42822</v>
      </c>
      <c r="K346" s="25" t="n">
        <v>2913.48</v>
      </c>
      <c r="L346" s="1" t="n">
        <v>43187</v>
      </c>
      <c r="M346" s="25" t="n">
        <v>2780.04</v>
      </c>
      <c r="N346" s="26">
        <f>M346-K346</f>
        <v/>
      </c>
      <c r="O346" s="7">
        <f>(M346/K346)-1</f>
        <v/>
      </c>
      <c r="P346" s="4" t="n"/>
    </row>
    <row hidden="1" r="347" s="64" spans="1:23">
      <c r="A347" s="1" t="n">
        <v>42223</v>
      </c>
      <c r="B347" s="27" t="n">
        <v>2955.31</v>
      </c>
      <c r="C347" s="1" t="n">
        <v>42589</v>
      </c>
      <c r="D347" s="25" t="n">
        <v>3052.8</v>
      </c>
      <c r="E347" s="25" t="n"/>
      <c r="F347" s="25" t="n"/>
      <c r="G347" s="28">
        <f>D347-B347</f>
        <v/>
      </c>
      <c r="H347" s="10">
        <f>(D347/B347)-1</f>
        <v/>
      </c>
      <c r="I347" s="7" t="n"/>
      <c r="J347" s="1" t="n">
        <v>42822</v>
      </c>
      <c r="K347" s="25" t="n">
        <v>2913.48</v>
      </c>
      <c r="L347" s="1" t="n">
        <v>43187</v>
      </c>
      <c r="M347" s="25" t="n">
        <v>2780.04</v>
      </c>
      <c r="N347" s="26">
        <f>M347-K347</f>
        <v/>
      </c>
      <c r="O347" s="7">
        <f>(M347/K347)-1</f>
        <v/>
      </c>
      <c r="P347" s="4" t="n"/>
    </row>
    <row hidden="1" r="348" s="64" spans="1:23">
      <c r="A348" s="1" t="n">
        <v>42224</v>
      </c>
      <c r="B348" s="27" t="n">
        <v>2955.31</v>
      </c>
      <c r="C348" s="1" t="n">
        <v>42590</v>
      </c>
      <c r="D348" s="25" t="n">
        <v>3052.8</v>
      </c>
      <c r="E348" s="25" t="n"/>
      <c r="F348" s="25" t="n"/>
      <c r="G348" s="28">
        <f>D348-B348</f>
        <v/>
      </c>
      <c r="H348" s="10">
        <f>(D348/B348)-1</f>
        <v/>
      </c>
      <c r="I348" s="7" t="n"/>
      <c r="J348" s="1" t="n">
        <v>42822</v>
      </c>
      <c r="K348" s="25" t="n">
        <v>2913.48</v>
      </c>
      <c r="L348" s="1" t="n">
        <v>43187</v>
      </c>
      <c r="M348" s="25" t="n">
        <v>2780.04</v>
      </c>
      <c r="N348" s="26">
        <f>M348-K348</f>
        <v/>
      </c>
      <c r="O348" s="7">
        <f>(M348/K348)-1</f>
        <v/>
      </c>
      <c r="P348" s="4" t="n"/>
    </row>
    <row hidden="1" r="349" s="64" spans="1:23">
      <c r="A349" s="1" t="n">
        <v>42225</v>
      </c>
      <c r="B349" s="27" t="n">
        <v>2955.31</v>
      </c>
      <c r="C349" s="1" t="n">
        <v>42591</v>
      </c>
      <c r="D349" s="25" t="n">
        <v>2992.5</v>
      </c>
      <c r="E349" s="25" t="n"/>
      <c r="F349" s="25" t="n"/>
      <c r="G349" s="28">
        <f>D349-B349</f>
        <v/>
      </c>
      <c r="H349" s="10">
        <f>(D349/B349)-1</f>
        <v/>
      </c>
      <c r="I349" s="7" t="n"/>
      <c r="J349" s="1" t="n">
        <v>42822</v>
      </c>
      <c r="K349" s="25" t="n">
        <v>2913.48</v>
      </c>
      <c r="L349" s="1" t="n">
        <v>43187</v>
      </c>
      <c r="M349" s="25" t="n">
        <v>2780.04</v>
      </c>
      <c r="N349" s="26">
        <f>M349-K349</f>
        <v/>
      </c>
      <c r="O349" s="7">
        <f>(M349/K349)-1</f>
        <v/>
      </c>
      <c r="P349" s="4" t="n"/>
    </row>
    <row hidden="1" r="350" s="64" spans="1:23">
      <c r="A350" s="1" t="n">
        <v>42226</v>
      </c>
      <c r="B350" s="27" t="n">
        <v>2955.31</v>
      </c>
      <c r="C350" s="1" t="n">
        <v>42592</v>
      </c>
      <c r="D350" s="25" t="n">
        <v>2974.31</v>
      </c>
      <c r="E350" s="25" t="n"/>
      <c r="F350" s="25" t="n"/>
      <c r="G350" s="28">
        <f>D350-B350</f>
        <v/>
      </c>
      <c r="H350" s="10">
        <f>(D350/B350)-1</f>
        <v/>
      </c>
      <c r="I350" s="7" t="n"/>
      <c r="J350" s="1" t="n">
        <v>42822</v>
      </c>
      <c r="K350" s="25" t="n">
        <v>2913.48</v>
      </c>
      <c r="L350" s="1" t="n">
        <v>43187</v>
      </c>
      <c r="M350" s="25" t="n">
        <v>2780.04</v>
      </c>
      <c r="N350" s="26">
        <f>M350-K350</f>
        <v/>
      </c>
      <c r="O350" s="7">
        <f>(M350/K350)-1</f>
        <v/>
      </c>
      <c r="P350" s="4" t="n"/>
    </row>
    <row hidden="1" r="351" s="64" spans="1:23">
      <c r="A351" s="1" t="n">
        <v>42227</v>
      </c>
      <c r="B351" s="27" t="n">
        <v>2913.45</v>
      </c>
      <c r="C351" s="1" t="n">
        <v>42593</v>
      </c>
      <c r="D351" s="25" t="n">
        <v>2954.9</v>
      </c>
      <c r="E351" s="25" t="n"/>
      <c r="F351" s="25" t="n"/>
      <c r="G351" s="28">
        <f>D351-B351</f>
        <v/>
      </c>
      <c r="H351" s="10">
        <f>(D351/B351)-1</f>
        <v/>
      </c>
      <c r="I351" s="7" t="n"/>
      <c r="J351" s="1" t="n">
        <v>42822</v>
      </c>
      <c r="K351" s="25" t="n">
        <v>2913.48</v>
      </c>
      <c r="L351" s="1" t="n">
        <v>43187</v>
      </c>
      <c r="M351" s="25" t="n">
        <v>2780.04</v>
      </c>
      <c r="N351" s="26">
        <f>M351-K351</f>
        <v/>
      </c>
      <c r="O351" s="7">
        <f>(M351/K351)-1</f>
        <v/>
      </c>
      <c r="P351" s="4" t="n"/>
    </row>
    <row hidden="1" r="352" s="64" spans="1:23">
      <c r="A352" s="1" t="n">
        <v>42228</v>
      </c>
      <c r="B352" s="27" t="n">
        <v>2943.97</v>
      </c>
      <c r="C352" s="1" t="n">
        <v>42594</v>
      </c>
      <c r="D352" s="25" t="n">
        <v>2911.26</v>
      </c>
      <c r="E352" s="25" t="n"/>
      <c r="F352" s="25" t="n"/>
      <c r="G352" s="28">
        <f>D352-B352</f>
        <v/>
      </c>
      <c r="H352" s="10">
        <f>(D352/B352)-1</f>
        <v/>
      </c>
      <c r="I352" s="7" t="n"/>
      <c r="J352" s="1" t="n">
        <v>42822</v>
      </c>
      <c r="K352" s="25" t="n">
        <v>2913.48</v>
      </c>
      <c r="L352" s="1" t="n">
        <v>43187</v>
      </c>
      <c r="M352" s="25" t="n">
        <v>2780.04</v>
      </c>
      <c r="N352" s="26">
        <f>M352-K352</f>
        <v/>
      </c>
      <c r="O352" s="7">
        <f>(M352/K352)-1</f>
        <v/>
      </c>
      <c r="P352" s="4" t="n"/>
    </row>
    <row hidden="1" r="353" s="64" spans="1:23">
      <c r="A353" s="1" t="n">
        <v>42229</v>
      </c>
      <c r="B353" s="27" t="n">
        <v>2937.63</v>
      </c>
      <c r="C353" s="1" t="n">
        <v>42595</v>
      </c>
      <c r="D353" s="25" t="n">
        <v>2908.67</v>
      </c>
      <c r="E353" s="25" t="n"/>
      <c r="F353" s="25" t="n"/>
      <c r="G353" s="28">
        <f>D353-B353</f>
        <v/>
      </c>
      <c r="H353" s="10">
        <f>(D353/B353)-1</f>
        <v/>
      </c>
      <c r="I353" s="7" t="n"/>
      <c r="J353" s="1" t="n">
        <v>42822</v>
      </c>
      <c r="K353" s="25" t="n">
        <v>2913.48</v>
      </c>
      <c r="L353" s="1" t="n">
        <v>43187</v>
      </c>
      <c r="M353" s="25" t="n">
        <v>2780.04</v>
      </c>
      <c r="N353" s="26">
        <f>M353-K353</f>
        <v/>
      </c>
      <c r="O353" s="7">
        <f>(M353/K353)-1</f>
        <v/>
      </c>
      <c r="P353" s="4" t="n"/>
    </row>
    <row hidden="1" r="354" s="64" spans="1:23">
      <c r="A354" s="1" t="n">
        <v>42230</v>
      </c>
      <c r="B354" s="27" t="n">
        <v>2966.12</v>
      </c>
      <c r="C354" s="1" t="n">
        <v>42596</v>
      </c>
      <c r="D354" s="25" t="n">
        <v>2908.67</v>
      </c>
      <c r="E354" s="25" t="n"/>
      <c r="F354" s="25" t="n"/>
      <c r="G354" s="28">
        <f>D354-B354</f>
        <v/>
      </c>
      <c r="H354" s="10">
        <f>(D354/B354)-1</f>
        <v/>
      </c>
      <c r="I354" s="7" t="n"/>
      <c r="J354" s="1" t="n">
        <v>42822</v>
      </c>
      <c r="K354" s="25" t="n">
        <v>2913.48</v>
      </c>
      <c r="L354" s="1" t="n">
        <v>43187</v>
      </c>
      <c r="M354" s="25" t="n">
        <v>2780.04</v>
      </c>
      <c r="N354" s="26">
        <f>M354-K354</f>
        <v/>
      </c>
      <c r="O354" s="7">
        <f>(M354/K354)-1</f>
        <v/>
      </c>
      <c r="P354" s="4" t="n"/>
    </row>
    <row hidden="1" r="355" s="64" spans="1:23">
      <c r="A355" s="1" t="n">
        <v>42231</v>
      </c>
      <c r="B355" s="27" t="n">
        <v>2983.12</v>
      </c>
      <c r="C355" s="1" t="n">
        <v>42597</v>
      </c>
      <c r="D355" s="25" t="n">
        <v>2908.67</v>
      </c>
      <c r="E355" s="25" t="n"/>
      <c r="F355" s="25" t="n"/>
      <c r="G355" s="28">
        <f>D355-B355</f>
        <v/>
      </c>
      <c r="H355" s="10">
        <f>(D355/B355)-1</f>
        <v/>
      </c>
      <c r="I355" s="7" t="n"/>
      <c r="J355" s="1" t="n">
        <v>42822</v>
      </c>
      <c r="K355" s="25" t="n">
        <v>2913.48</v>
      </c>
      <c r="L355" s="1" t="n">
        <v>43187</v>
      </c>
      <c r="M355" s="25" t="n">
        <v>2780.04</v>
      </c>
      <c r="N355" s="26">
        <f>M355-K355</f>
        <v/>
      </c>
      <c r="O355" s="7">
        <f>(M355/K355)-1</f>
        <v/>
      </c>
      <c r="P355" s="4" t="n"/>
    </row>
    <row hidden="1" r="356" s="64" spans="1:23">
      <c r="A356" s="1" t="n">
        <v>42232</v>
      </c>
      <c r="B356" s="27" t="n">
        <v>2983.12</v>
      </c>
      <c r="C356" s="1" t="n">
        <v>42598</v>
      </c>
      <c r="D356" s="25" t="n">
        <v>2908.67</v>
      </c>
      <c r="E356" s="25" t="n"/>
      <c r="F356" s="25" t="n"/>
      <c r="G356" s="28">
        <f>D356-B356</f>
        <v/>
      </c>
      <c r="H356" s="10">
        <f>(D356/B356)-1</f>
        <v/>
      </c>
      <c r="I356" s="7" t="n"/>
      <c r="J356" s="1" t="n">
        <v>42822</v>
      </c>
      <c r="K356" s="25" t="n">
        <v>2913.48</v>
      </c>
      <c r="L356" s="1" t="n">
        <v>43187</v>
      </c>
      <c r="M356" s="25" t="n">
        <v>2780.04</v>
      </c>
      <c r="N356" s="26">
        <f>M356-K356</f>
        <v/>
      </c>
      <c r="O356" s="7">
        <f>(M356/K356)-1</f>
        <v/>
      </c>
      <c r="P356" s="4" t="n"/>
    </row>
    <row hidden="1" r="357" s="64" spans="1:23">
      <c r="A357" s="1" t="n">
        <v>42233</v>
      </c>
      <c r="B357" s="27" t="n">
        <v>2983.12</v>
      </c>
      <c r="C357" s="1" t="n">
        <v>42599</v>
      </c>
      <c r="D357" s="25" t="n">
        <v>2905.3</v>
      </c>
      <c r="E357" s="25" t="n"/>
      <c r="F357" s="25" t="n"/>
      <c r="G357" s="28">
        <f>D357-B357</f>
        <v/>
      </c>
      <c r="H357" s="10">
        <f>(D357/B357)-1</f>
        <v/>
      </c>
      <c r="I357" s="7" t="n"/>
      <c r="J357" s="1" t="n">
        <v>42822</v>
      </c>
      <c r="K357" s="25" t="n">
        <v>2913.48</v>
      </c>
      <c r="L357" s="1" t="n">
        <v>43187</v>
      </c>
      <c r="M357" s="25" t="n">
        <v>2780.04</v>
      </c>
      <c r="N357" s="26">
        <f>M357-K357</f>
        <v/>
      </c>
      <c r="O357" s="7">
        <f>(M357/K357)-1</f>
        <v/>
      </c>
      <c r="P357" s="4" t="n"/>
    </row>
    <row hidden="1" r="358" s="64" spans="1:23">
      <c r="A358" s="1" t="n">
        <v>42234</v>
      </c>
      <c r="B358" s="27" t="n">
        <v>2983.12</v>
      </c>
      <c r="C358" s="1" t="n">
        <v>42600</v>
      </c>
      <c r="D358" s="25" t="n">
        <v>2918.07</v>
      </c>
      <c r="E358" s="25" t="n"/>
      <c r="F358" s="25" t="n"/>
      <c r="G358" s="28">
        <f>D358-B358</f>
        <v/>
      </c>
      <c r="H358" s="10">
        <f>(D358/B358)-1</f>
        <v/>
      </c>
      <c r="I358" s="7" t="n"/>
      <c r="J358" s="1" t="n">
        <v>42822</v>
      </c>
      <c r="K358" s="25" t="n">
        <v>2913.48</v>
      </c>
      <c r="L358" s="1" t="n">
        <v>43187</v>
      </c>
      <c r="M358" s="25" t="n">
        <v>2780.04</v>
      </c>
      <c r="N358" s="26">
        <f>M358-K358</f>
        <v/>
      </c>
      <c r="O358" s="7">
        <f>(M358/K358)-1</f>
        <v/>
      </c>
      <c r="P358" s="4" t="n"/>
    </row>
    <row hidden="1" r="359" s="64" spans="1:23">
      <c r="A359" s="1" t="n">
        <v>42235</v>
      </c>
      <c r="B359" s="27" t="n">
        <v>3003.35</v>
      </c>
      <c r="C359" s="1" t="n">
        <v>42601</v>
      </c>
      <c r="D359" s="25" t="n">
        <v>2884.02</v>
      </c>
      <c r="E359" s="25" t="n"/>
      <c r="F359" s="25" t="n"/>
      <c r="G359" s="28">
        <f>D359-B359</f>
        <v/>
      </c>
      <c r="H359" s="10">
        <f>(D359/B359)-1</f>
        <v/>
      </c>
      <c r="I359" s="7" t="n"/>
      <c r="J359" s="1" t="n">
        <v>42822</v>
      </c>
      <c r="K359" s="25" t="n">
        <v>2913.48</v>
      </c>
      <c r="L359" s="1" t="n">
        <v>43187</v>
      </c>
      <c r="M359" s="25" t="n">
        <v>2780.04</v>
      </c>
      <c r="N359" s="26">
        <f>M359-K359</f>
        <v/>
      </c>
      <c r="O359" s="7">
        <f>(M359/K359)-1</f>
        <v/>
      </c>
      <c r="P359" s="4" t="n"/>
    </row>
    <row hidden="1" r="360" s="64" spans="1:23">
      <c r="A360" s="1" t="n">
        <v>42236</v>
      </c>
      <c r="B360" s="27" t="n">
        <v>3027.2</v>
      </c>
      <c r="C360" s="1" t="n">
        <v>42602</v>
      </c>
      <c r="D360" s="25" t="n">
        <v>2867.37</v>
      </c>
      <c r="E360" s="25" t="n"/>
      <c r="F360" s="25" t="n"/>
      <c r="G360" s="28">
        <f>D360-B360</f>
        <v/>
      </c>
      <c r="H360" s="10">
        <f>(D360/B360)-1</f>
        <v/>
      </c>
      <c r="I360" s="7" t="n"/>
      <c r="J360" s="1" t="n">
        <v>42822</v>
      </c>
      <c r="K360" s="25" t="n">
        <v>2913.48</v>
      </c>
      <c r="L360" s="1" t="n">
        <v>43187</v>
      </c>
      <c r="M360" s="25" t="n">
        <v>2780.04</v>
      </c>
      <c r="N360" s="26">
        <f>M360-K360</f>
        <v/>
      </c>
      <c r="O360" s="7">
        <f>(M360/K360)-1</f>
        <v/>
      </c>
      <c r="P360" s="4" t="n"/>
    </row>
    <row hidden="1" r="361" s="64" spans="1:23">
      <c r="A361" s="1" t="n">
        <v>42237</v>
      </c>
      <c r="B361" s="27" t="n">
        <v>3053.65</v>
      </c>
      <c r="C361" s="1" t="n">
        <v>42603</v>
      </c>
      <c r="D361" s="25" t="n">
        <v>2867.37</v>
      </c>
      <c r="E361" s="25" t="n"/>
      <c r="F361" s="25" t="n"/>
      <c r="G361" s="28">
        <f>D361-B361</f>
        <v/>
      </c>
      <c r="H361" s="10">
        <f>(D361/B361)-1</f>
        <v/>
      </c>
      <c r="I361" s="7" t="n"/>
      <c r="J361" s="1" t="n">
        <v>42822</v>
      </c>
      <c r="K361" s="25" t="n">
        <v>2913.48</v>
      </c>
      <c r="L361" s="1" t="n">
        <v>43187</v>
      </c>
      <c r="M361" s="25" t="n">
        <v>2780.04</v>
      </c>
      <c r="N361" s="26">
        <f>M361-K361</f>
        <v/>
      </c>
      <c r="O361" s="7">
        <f>(M361/K361)-1</f>
        <v/>
      </c>
      <c r="P361" s="4" t="n"/>
    </row>
    <row hidden="1" r="362" s="64" spans="1:23">
      <c r="A362" s="1" t="n">
        <v>42238</v>
      </c>
      <c r="B362" s="27" t="n">
        <v>3102.6</v>
      </c>
      <c r="C362" s="1" t="n">
        <v>42604</v>
      </c>
      <c r="D362" s="25" t="n">
        <v>2867.37</v>
      </c>
      <c r="E362" s="25" t="n"/>
      <c r="F362" s="25" t="n"/>
      <c r="G362" s="28">
        <f>D362-B362</f>
        <v/>
      </c>
      <c r="H362" s="10">
        <f>(D362/B362)-1</f>
        <v/>
      </c>
      <c r="I362" s="7" t="n"/>
      <c r="J362" s="1" t="n">
        <v>42822</v>
      </c>
      <c r="K362" s="25" t="n">
        <v>2913.48</v>
      </c>
      <c r="L362" s="1" t="n">
        <v>43187</v>
      </c>
      <c r="M362" s="25" t="n">
        <v>2780.04</v>
      </c>
      <c r="N362" s="26">
        <f>M362-K362</f>
        <v/>
      </c>
      <c r="O362" s="7">
        <f>(M362/K362)-1</f>
        <v/>
      </c>
      <c r="P362" s="4" t="n"/>
    </row>
    <row hidden="1" r="363" s="64" spans="1:23">
      <c r="A363" s="1" t="n">
        <v>42239</v>
      </c>
      <c r="B363" s="27" t="n">
        <v>3102.6</v>
      </c>
      <c r="C363" s="1" t="n">
        <v>42605</v>
      </c>
      <c r="D363" s="25" t="n">
        <v>2883.89</v>
      </c>
      <c r="E363" s="25" t="n"/>
      <c r="F363" s="25" t="n"/>
      <c r="G363" s="28">
        <f>D363-B363</f>
        <v/>
      </c>
      <c r="H363" s="10">
        <f>(D363/B363)-1</f>
        <v/>
      </c>
      <c r="I363" s="7" t="n"/>
      <c r="J363" s="1" t="n">
        <v>42822</v>
      </c>
      <c r="K363" s="25" t="n">
        <v>2913.48</v>
      </c>
      <c r="L363" s="1" t="n">
        <v>43187</v>
      </c>
      <c r="M363" s="25" t="n">
        <v>2780.04</v>
      </c>
      <c r="N363" s="26">
        <f>M363-K363</f>
        <v/>
      </c>
      <c r="O363" s="7">
        <f>(M363/K363)-1</f>
        <v/>
      </c>
      <c r="P363" s="4" t="n"/>
    </row>
    <row hidden="1" r="364" s="64" spans="1:23">
      <c r="A364" s="1" t="n">
        <v>42240</v>
      </c>
      <c r="B364" s="27" t="n">
        <v>3102.6</v>
      </c>
      <c r="C364" s="1" t="n">
        <v>42606</v>
      </c>
      <c r="D364" s="25" t="n">
        <v>2909.1</v>
      </c>
      <c r="E364" s="25" t="n"/>
      <c r="F364" s="25" t="n"/>
      <c r="G364" s="28">
        <f>D364-B364</f>
        <v/>
      </c>
      <c r="H364" s="10">
        <f>(D364/B364)-1</f>
        <v/>
      </c>
      <c r="I364" s="7" t="n"/>
      <c r="J364" s="1" t="n">
        <v>42822</v>
      </c>
      <c r="K364" s="25" t="n">
        <v>2913.48</v>
      </c>
      <c r="L364" s="1" t="n">
        <v>43187</v>
      </c>
      <c r="M364" s="25" t="n">
        <v>2780.04</v>
      </c>
      <c r="N364" s="26">
        <f>M364-K364</f>
        <v/>
      </c>
      <c r="O364" s="7">
        <f>(M364/K364)-1</f>
        <v/>
      </c>
      <c r="P364" s="4" t="n"/>
    </row>
    <row hidden="1" r="365" s="64" spans="1:23">
      <c r="A365" s="1" t="n">
        <v>42241</v>
      </c>
      <c r="B365" s="27" t="n">
        <v>3208.37</v>
      </c>
      <c r="C365" s="1" t="n">
        <v>42607</v>
      </c>
      <c r="D365" s="25" t="n">
        <v>2938.28</v>
      </c>
      <c r="E365" s="25" t="n"/>
      <c r="F365" s="25" t="n"/>
      <c r="G365" s="28">
        <f>D365-B365</f>
        <v/>
      </c>
      <c r="H365" s="10">
        <f>(D365/B365)-1</f>
        <v/>
      </c>
      <c r="I365" s="7" t="n"/>
      <c r="J365" s="1" t="n">
        <v>42822</v>
      </c>
      <c r="K365" s="25" t="n">
        <v>2913.48</v>
      </c>
      <c r="L365" s="1" t="n">
        <v>43187</v>
      </c>
      <c r="M365" s="25" t="n">
        <v>2780.04</v>
      </c>
      <c r="N365" s="26">
        <f>M365-K365</f>
        <v/>
      </c>
      <c r="O365" s="7">
        <f>(M365/K365)-1</f>
        <v/>
      </c>
      <c r="P365" s="4" t="n"/>
    </row>
    <row hidden="1" r="366" s="64" spans="1:23">
      <c r="A366" s="1" t="n">
        <v>42242</v>
      </c>
      <c r="B366" s="27" t="n">
        <v>3194.24</v>
      </c>
      <c r="C366" s="1" t="n">
        <v>42608</v>
      </c>
      <c r="D366" s="25" t="n">
        <v>2915.67</v>
      </c>
      <c r="E366" s="25" t="n"/>
      <c r="F366" s="25" t="n"/>
      <c r="G366" s="28">
        <f>D366-B366</f>
        <v/>
      </c>
      <c r="H366" s="10">
        <f>(D366/B366)-1</f>
        <v/>
      </c>
      <c r="I366" s="7" t="n"/>
      <c r="J366" s="1" t="n">
        <v>42822</v>
      </c>
      <c r="K366" s="25" t="n">
        <v>2913.48</v>
      </c>
      <c r="L366" s="1" t="n">
        <v>43187</v>
      </c>
      <c r="M366" s="25" t="n">
        <v>2780.04</v>
      </c>
      <c r="N366" s="26">
        <f>M366-K366</f>
        <v/>
      </c>
      <c r="O366" s="7">
        <f>(M366/K366)-1</f>
        <v/>
      </c>
      <c r="P366" s="4" t="n"/>
    </row>
    <row hidden="1" r="367" s="64" spans="1:23">
      <c r="A367" s="1" t="n">
        <v>42243</v>
      </c>
      <c r="B367" s="27" t="n">
        <v>3238.51</v>
      </c>
      <c r="C367" s="1" t="n">
        <v>42609</v>
      </c>
      <c r="D367" s="25" t="n">
        <v>2882.69</v>
      </c>
      <c r="E367" s="25" t="n"/>
      <c r="F367" s="25" t="n"/>
      <c r="G367" s="28">
        <f>D367-B367</f>
        <v/>
      </c>
      <c r="H367" s="10">
        <f>(D367/B367)-1</f>
        <v/>
      </c>
      <c r="I367" s="7" t="n"/>
      <c r="J367" s="1" t="n">
        <v>42822</v>
      </c>
      <c r="K367" s="25" t="n">
        <v>2913.48</v>
      </c>
      <c r="L367" s="1" t="n">
        <v>43187</v>
      </c>
      <c r="M367" s="25" t="n">
        <v>2780.04</v>
      </c>
      <c r="N367" s="26">
        <f>M367-K367</f>
        <v/>
      </c>
      <c r="O367" s="7">
        <f>(M367/K367)-1</f>
        <v/>
      </c>
      <c r="P367" s="4" t="n"/>
    </row>
    <row hidden="1" r="368" s="64" spans="1:23">
      <c r="A368" s="1" t="n">
        <v>42244</v>
      </c>
      <c r="B368" s="27" t="n">
        <v>3195.47</v>
      </c>
      <c r="C368" s="1" t="n">
        <v>42610</v>
      </c>
      <c r="D368" s="25" t="n">
        <v>2882.69</v>
      </c>
      <c r="E368" s="25" t="n"/>
      <c r="F368" s="25" t="n"/>
      <c r="G368" s="28">
        <f>D368-B368</f>
        <v/>
      </c>
      <c r="H368" s="10">
        <f>(D368/B368)-1</f>
        <v/>
      </c>
      <c r="I368" s="7" t="n"/>
      <c r="J368" s="1" t="n">
        <v>42822</v>
      </c>
      <c r="K368" s="25" t="n">
        <v>2913.48</v>
      </c>
      <c r="L368" s="1" t="n">
        <v>43187</v>
      </c>
      <c r="M368" s="25" t="n">
        <v>2780.04</v>
      </c>
      <c r="N368" s="26">
        <f>M368-K368</f>
        <v/>
      </c>
      <c r="O368" s="7">
        <f>(M368/K368)-1</f>
        <v/>
      </c>
      <c r="P368" s="4" t="n"/>
    </row>
    <row hidden="1" r="369" s="64" spans="1:23">
      <c r="A369" s="1" t="n">
        <v>42245</v>
      </c>
      <c r="B369" s="27" t="n">
        <v>3101.1</v>
      </c>
      <c r="C369" s="1" t="n">
        <v>42611</v>
      </c>
      <c r="D369" s="25" t="n">
        <v>2882.69</v>
      </c>
      <c r="E369" s="25" t="n"/>
      <c r="F369" s="25" t="n"/>
      <c r="G369" s="28">
        <f>D369-B369</f>
        <v/>
      </c>
      <c r="H369" s="10">
        <f>(D369/B369)-1</f>
        <v/>
      </c>
      <c r="I369" s="7" t="n"/>
      <c r="J369" s="1" t="n">
        <v>42822</v>
      </c>
      <c r="K369" s="25" t="n">
        <v>2913.48</v>
      </c>
      <c r="L369" s="1" t="n">
        <v>43187</v>
      </c>
      <c r="M369" s="25" t="n">
        <v>2780.04</v>
      </c>
      <c r="N369" s="26">
        <f>M369-K369</f>
        <v/>
      </c>
      <c r="O369" s="7">
        <f>(M369/K369)-1</f>
        <v/>
      </c>
      <c r="P369" s="4" t="n"/>
    </row>
    <row hidden="1" r="370" s="64" spans="1:23">
      <c r="A370" s="1" t="n">
        <v>42246</v>
      </c>
      <c r="B370" s="27" t="n">
        <v>3101.1</v>
      </c>
      <c r="C370" s="1" t="n">
        <v>42612</v>
      </c>
      <c r="D370" s="25" t="n">
        <v>2924.29</v>
      </c>
      <c r="E370" s="25" t="n"/>
      <c r="F370" s="25" t="n"/>
      <c r="G370" s="28">
        <f>D370-B370</f>
        <v/>
      </c>
      <c r="H370" s="10">
        <f>(D370/B370)-1</f>
        <v/>
      </c>
      <c r="I370" s="7" t="n"/>
      <c r="J370" s="1" t="n">
        <v>42822</v>
      </c>
      <c r="K370" s="25" t="n">
        <v>2913.48</v>
      </c>
      <c r="L370" s="1" t="n">
        <v>43187</v>
      </c>
      <c r="M370" s="25" t="n">
        <v>2780.04</v>
      </c>
      <c r="N370" s="26">
        <f>M370-K370</f>
        <v/>
      </c>
      <c r="O370" s="7">
        <f>(M370/K370)-1</f>
        <v/>
      </c>
      <c r="P370" s="4" t="n"/>
    </row>
    <row hidden="1" r="371" s="64" spans="1:23">
      <c r="A371" s="1" t="n">
        <v>42247</v>
      </c>
      <c r="B371" s="27" t="n">
        <v>3101.1</v>
      </c>
      <c r="C371" s="1" t="n">
        <v>42613</v>
      </c>
      <c r="D371" s="25" t="n">
        <v>2933.82</v>
      </c>
      <c r="E371" s="25" t="n"/>
      <c r="F371" s="25" t="n"/>
      <c r="G371" s="28">
        <f>D371-B371</f>
        <v/>
      </c>
      <c r="H371" s="10">
        <f>(D371/B371)-1</f>
        <v/>
      </c>
      <c r="I371" s="7" t="n"/>
      <c r="J371" s="1" t="n">
        <v>42822</v>
      </c>
      <c r="K371" s="25" t="n">
        <v>2913.48</v>
      </c>
      <c r="L371" s="1" t="n">
        <v>43187</v>
      </c>
      <c r="M371" s="25" t="n">
        <v>2780.04</v>
      </c>
      <c r="N371" s="26">
        <f>M371-K371</f>
        <v/>
      </c>
      <c r="O371" s="7">
        <f>(M371/K371)-1</f>
        <v/>
      </c>
      <c r="P371" s="4" t="n"/>
    </row>
    <row hidden="1" r="372" s="64" spans="1:23">
      <c r="A372" s="1" t="n">
        <v>42248</v>
      </c>
      <c r="B372" s="27" t="n">
        <v>3079.97</v>
      </c>
      <c r="C372" s="1" t="n">
        <v>42614</v>
      </c>
      <c r="D372" s="25" t="n">
        <v>2956.53</v>
      </c>
      <c r="E372" s="25" t="n"/>
      <c r="F372" s="25" t="n"/>
      <c r="G372" s="28">
        <f>D372-B372</f>
        <v/>
      </c>
      <c r="H372" s="10">
        <f>(D372/B372)-1</f>
        <v/>
      </c>
      <c r="I372" s="7" t="n"/>
      <c r="J372" s="1" t="n">
        <v>42822</v>
      </c>
      <c r="K372" s="25" t="n">
        <v>2913.48</v>
      </c>
      <c r="L372" s="1" t="n">
        <v>43187</v>
      </c>
      <c r="M372" s="25" t="n">
        <v>2780.04</v>
      </c>
      <c r="N372" s="26">
        <f>M372-K372</f>
        <v/>
      </c>
      <c r="O372" s="7">
        <f>(M372/K372)-1</f>
        <v/>
      </c>
      <c r="P372" s="4" t="n"/>
    </row>
    <row hidden="1" r="373" s="64" spans="1:23">
      <c r="A373" s="1" t="n">
        <v>42249</v>
      </c>
      <c r="B373" s="27" t="n">
        <v>3093.64</v>
      </c>
      <c r="C373" s="1" t="n">
        <v>42615</v>
      </c>
      <c r="D373" s="25" t="n">
        <v>2986.36</v>
      </c>
      <c r="E373" s="25" t="n"/>
      <c r="F373" s="25" t="n"/>
      <c r="G373" s="28">
        <f>D373-B373</f>
        <v/>
      </c>
      <c r="H373" s="10">
        <f>(D373/B373)-1</f>
        <v/>
      </c>
      <c r="I373" s="7" t="n"/>
      <c r="J373" s="1" t="n">
        <v>42822</v>
      </c>
      <c r="K373" s="25" t="n">
        <v>2913.48</v>
      </c>
      <c r="L373" s="1" t="n">
        <v>43187</v>
      </c>
      <c r="M373" s="25" t="n">
        <v>2780.04</v>
      </c>
      <c r="N373" s="26">
        <f>M373-K373</f>
        <v/>
      </c>
      <c r="O373" s="7">
        <f>(M373/K373)-1</f>
        <v/>
      </c>
      <c r="P373" s="4" t="n"/>
    </row>
    <row hidden="1" r="374" s="64" spans="1:23">
      <c r="A374" s="1" t="n">
        <v>42250</v>
      </c>
      <c r="B374" s="27" t="n">
        <v>3142.34</v>
      </c>
      <c r="C374" s="1" t="n">
        <v>42616</v>
      </c>
      <c r="D374" s="25" t="n">
        <v>2957.56</v>
      </c>
      <c r="E374" s="25" t="n"/>
      <c r="F374" s="25" t="n"/>
      <c r="G374" s="28">
        <f>D374-B374</f>
        <v/>
      </c>
      <c r="H374" s="10">
        <f>(D374/B374)-1</f>
        <v/>
      </c>
      <c r="I374" s="7" t="n"/>
      <c r="J374" s="1" t="n">
        <v>42822</v>
      </c>
      <c r="K374" s="25" t="n">
        <v>2913.48</v>
      </c>
      <c r="L374" s="1" t="n">
        <v>43187</v>
      </c>
      <c r="M374" s="25" t="n">
        <v>2780.04</v>
      </c>
      <c r="N374" s="26">
        <f>M374-K374</f>
        <v/>
      </c>
      <c r="O374" s="7">
        <f>(M374/K374)-1</f>
        <v/>
      </c>
      <c r="P374" s="4" t="n"/>
    </row>
    <row hidden="1" r="375" s="64" spans="1:23">
      <c r="A375" s="1" t="n">
        <v>42251</v>
      </c>
      <c r="B375" s="27" t="n">
        <v>3119.93</v>
      </c>
      <c r="C375" s="1" t="n">
        <v>42617</v>
      </c>
      <c r="D375" s="25" t="n">
        <v>2957.56</v>
      </c>
      <c r="E375" s="25" t="n"/>
      <c r="F375" s="25" t="n"/>
      <c r="G375" s="28">
        <f>D375-B375</f>
        <v/>
      </c>
      <c r="H375" s="10">
        <f>(D375/B375)-1</f>
        <v/>
      </c>
      <c r="I375" s="7" t="n"/>
      <c r="J375" s="1" t="n">
        <v>42822</v>
      </c>
      <c r="K375" s="25" t="n">
        <v>2913.48</v>
      </c>
      <c r="L375" s="1" t="n">
        <v>43187</v>
      </c>
      <c r="M375" s="25" t="n">
        <v>2780.04</v>
      </c>
      <c r="N375" s="26">
        <f>M375-K375</f>
        <v/>
      </c>
      <c r="O375" s="7">
        <f>(M375/K375)-1</f>
        <v/>
      </c>
      <c r="P375" s="4" t="n"/>
    </row>
    <row customHeight="1" hidden="1" ht="15" r="376" s="64" spans="1:23">
      <c r="A376" s="1" t="n">
        <v>42252</v>
      </c>
      <c r="B376" s="27" t="n">
        <v>3113.55</v>
      </c>
      <c r="C376" s="1" t="n">
        <v>42618</v>
      </c>
      <c r="D376" s="25" t="n">
        <v>2957.56</v>
      </c>
      <c r="E376" s="25" t="n"/>
      <c r="F376" s="25" t="n"/>
      <c r="G376" s="28">
        <f>D376-B376</f>
        <v/>
      </c>
      <c r="H376" s="10">
        <f>(D376/B376)-1</f>
        <v/>
      </c>
      <c r="I376" s="7" t="n"/>
      <c r="J376" s="1" t="n">
        <v>42822</v>
      </c>
      <c r="K376" s="25" t="n">
        <v>2913.48</v>
      </c>
      <c r="L376" s="1" t="n">
        <v>43187</v>
      </c>
      <c r="M376" s="25" t="n">
        <v>2780.04</v>
      </c>
      <c r="N376" s="26">
        <f>M376-K376</f>
        <v/>
      </c>
      <c r="O376" s="7">
        <f>(M376/K376)-1</f>
        <v/>
      </c>
      <c r="P376" s="4" t="n"/>
    </row>
    <row customHeight="1" hidden="1" ht="15" r="377" s="64" spans="1:23">
      <c r="A377" s="1" t="n">
        <v>42253</v>
      </c>
      <c r="B377" s="27" t="n">
        <v>3113.55</v>
      </c>
      <c r="C377" s="1" t="n">
        <v>42619</v>
      </c>
      <c r="D377" s="25" t="n">
        <v>2957.56</v>
      </c>
      <c r="E377" s="25" t="n"/>
      <c r="F377" s="25" t="n"/>
      <c r="G377" s="28">
        <f>D377-B377</f>
        <v/>
      </c>
      <c r="H377" s="10">
        <f>(D377/B377)-1</f>
        <v/>
      </c>
      <c r="I377" s="7" t="n"/>
      <c r="J377" s="1" t="n">
        <v>42822</v>
      </c>
      <c r="K377" s="25" t="n">
        <v>2913.48</v>
      </c>
      <c r="L377" s="1" t="n">
        <v>43187</v>
      </c>
      <c r="M377" s="25" t="n">
        <v>2780.04</v>
      </c>
      <c r="N377" s="26">
        <f>M377-K377</f>
        <v/>
      </c>
      <c r="O377" s="7">
        <f>(M377/K377)-1</f>
        <v/>
      </c>
      <c r="P377" s="4" t="n"/>
    </row>
    <row customHeight="1" hidden="1" ht="15" r="378" s="64" spans="1:23">
      <c r="A378" s="1" t="n">
        <v>42254</v>
      </c>
      <c r="B378" s="27" t="n">
        <v>3113.55</v>
      </c>
      <c r="C378" s="1" t="n">
        <v>42620</v>
      </c>
      <c r="D378" s="25" t="n">
        <v>2887.64</v>
      </c>
      <c r="E378" s="25" t="n"/>
      <c r="F378" s="25" t="n"/>
      <c r="G378" s="28">
        <f>D378-B378</f>
        <v/>
      </c>
      <c r="H378" s="10">
        <f>(D378/B378)-1</f>
        <v/>
      </c>
      <c r="I378" s="7" t="n"/>
      <c r="J378" s="1" t="n">
        <v>42822</v>
      </c>
      <c r="K378" s="25" t="n">
        <v>2913.48</v>
      </c>
      <c r="L378" s="1" t="n">
        <v>43187</v>
      </c>
      <c r="M378" s="25" t="n">
        <v>2780.04</v>
      </c>
      <c r="N378" s="26">
        <f>M378-K378</f>
        <v/>
      </c>
      <c r="O378" s="7">
        <f>(M378/K378)-1</f>
        <v/>
      </c>
      <c r="P378" s="4" t="n"/>
    </row>
    <row customHeight="1" hidden="1" ht="15" r="379" s="64" spans="1:23">
      <c r="A379" s="1" t="n">
        <v>42255</v>
      </c>
      <c r="B379" s="27" t="n">
        <v>3113.55</v>
      </c>
      <c r="C379" s="1" t="n">
        <v>42621</v>
      </c>
      <c r="D379" s="25" t="n">
        <v>2840.38</v>
      </c>
      <c r="E379" s="25" t="n"/>
      <c r="F379" s="25" t="n"/>
      <c r="G379" s="28">
        <f>D379-B379</f>
        <v/>
      </c>
      <c r="H379" s="10">
        <f>(D379/B379)-1</f>
        <v/>
      </c>
      <c r="I379" s="7" t="n"/>
      <c r="J379" s="1" t="n">
        <v>42822</v>
      </c>
      <c r="K379" s="25" t="n">
        <v>2913.48</v>
      </c>
      <c r="L379" s="1" t="n">
        <v>43187</v>
      </c>
      <c r="M379" s="25" t="n">
        <v>2780.04</v>
      </c>
      <c r="N379" s="26">
        <f>M379-K379</f>
        <v/>
      </c>
      <c r="O379" s="7">
        <f>(M379/K379)-1</f>
        <v/>
      </c>
      <c r="P379" s="4" t="n"/>
    </row>
    <row hidden="1" r="380" s="64" spans="1:23">
      <c r="A380" s="1" t="n">
        <v>42256</v>
      </c>
      <c r="B380" s="27" t="n">
        <v>3138.46</v>
      </c>
      <c r="C380" s="1" t="n">
        <v>42622</v>
      </c>
      <c r="D380" s="25" t="n">
        <v>2846.13</v>
      </c>
      <c r="E380" s="25" t="n"/>
      <c r="F380" s="25" t="n"/>
      <c r="G380" s="28">
        <f>D380-B380</f>
        <v/>
      </c>
      <c r="H380" s="10">
        <f>(D380/B380)-1</f>
        <v/>
      </c>
      <c r="I380" s="7" t="n"/>
      <c r="J380" s="1" t="n">
        <v>42822</v>
      </c>
      <c r="K380" s="25" t="n">
        <v>2913.48</v>
      </c>
      <c r="L380" s="1" t="n">
        <v>43187</v>
      </c>
      <c r="M380" s="25" t="n">
        <v>2780.04</v>
      </c>
      <c r="N380" s="26">
        <f>M380-K380</f>
        <v/>
      </c>
      <c r="O380" s="7">
        <f>(M380/K380)-1</f>
        <v/>
      </c>
      <c r="P380" s="4" t="n"/>
    </row>
    <row hidden="1" r="381" s="64" spans="1:23">
      <c r="A381" s="1" t="n">
        <v>42257</v>
      </c>
      <c r="B381" s="27" t="n">
        <v>3105.4</v>
      </c>
      <c r="C381" s="1" t="n">
        <v>42623</v>
      </c>
      <c r="D381" s="25" t="n">
        <v>2899.29</v>
      </c>
      <c r="E381" s="25" t="n"/>
      <c r="F381" s="25" t="n"/>
      <c r="G381" s="28">
        <f>D381-B381</f>
        <v/>
      </c>
      <c r="H381" s="10">
        <f>(D381/B381)-1</f>
        <v/>
      </c>
      <c r="I381" s="7" t="n"/>
      <c r="J381" s="1" t="n">
        <v>42822</v>
      </c>
      <c r="K381" s="25" t="n">
        <v>2913.48</v>
      </c>
      <c r="L381" s="1" t="n">
        <v>43187</v>
      </c>
      <c r="M381" s="25" t="n">
        <v>2780.04</v>
      </c>
      <c r="N381" s="26">
        <f>M381-K381</f>
        <v/>
      </c>
      <c r="O381" s="7">
        <f>(M381/K381)-1</f>
        <v/>
      </c>
      <c r="P381" s="4" t="n"/>
    </row>
    <row hidden="1" r="382" s="64" spans="1:23">
      <c r="A382" s="1" t="n">
        <v>42258</v>
      </c>
      <c r="B382" s="27" t="n">
        <v>3080.57</v>
      </c>
      <c r="C382" s="1" t="n">
        <v>42624</v>
      </c>
      <c r="D382" s="25" t="n">
        <v>2899.29</v>
      </c>
      <c r="E382" s="25" t="n"/>
      <c r="F382" s="25" t="n"/>
      <c r="G382" s="28">
        <f>D382-B382</f>
        <v/>
      </c>
      <c r="H382" s="10">
        <f>(D382/B382)-1</f>
        <v/>
      </c>
      <c r="I382" s="7" t="n"/>
      <c r="J382" s="1" t="n">
        <v>42822</v>
      </c>
      <c r="K382" s="25" t="n">
        <v>2913.48</v>
      </c>
      <c r="L382" s="1" t="n">
        <v>43187</v>
      </c>
      <c r="M382" s="25" t="n">
        <v>2780.04</v>
      </c>
      <c r="N382" s="26">
        <f>M382-K382</f>
        <v/>
      </c>
      <c r="O382" s="7">
        <f>(M382/K382)-1</f>
        <v/>
      </c>
      <c r="P382" s="4" t="n"/>
    </row>
    <row hidden="1" r="383" s="64" spans="1:23">
      <c r="A383" s="1" t="n">
        <v>42259</v>
      </c>
      <c r="B383" s="27" t="n">
        <v>3012.96</v>
      </c>
      <c r="C383" s="1" t="n">
        <v>42625</v>
      </c>
      <c r="D383" s="25" t="n">
        <v>2899.29</v>
      </c>
      <c r="E383" s="25" t="n"/>
      <c r="F383" s="25" t="n"/>
      <c r="G383" s="28">
        <f>D383-B383</f>
        <v/>
      </c>
      <c r="H383" s="10">
        <f>(D383/B383)-1</f>
        <v/>
      </c>
      <c r="I383" s="7" t="n"/>
      <c r="J383" s="1" t="n">
        <v>42822</v>
      </c>
      <c r="K383" s="25" t="n">
        <v>2913.48</v>
      </c>
      <c r="L383" s="1" t="n">
        <v>43187</v>
      </c>
      <c r="M383" s="25" t="n">
        <v>2780.04</v>
      </c>
      <c r="N383" s="26">
        <f>M383-K383</f>
        <v/>
      </c>
      <c r="O383" s="7">
        <f>(M383/K383)-1</f>
        <v/>
      </c>
      <c r="P383" s="4" t="n"/>
    </row>
    <row hidden="1" r="384" s="64" spans="1:23">
      <c r="A384" s="1" t="n">
        <v>42260</v>
      </c>
      <c r="B384" s="27" t="n">
        <v>3012.96</v>
      </c>
      <c r="C384" s="1" t="n">
        <v>42626</v>
      </c>
      <c r="D384" s="25" t="n">
        <v>2942.29</v>
      </c>
      <c r="E384" s="25" t="n"/>
      <c r="F384" s="25" t="n"/>
      <c r="G384" s="28">
        <f>D384-B384</f>
        <v/>
      </c>
      <c r="H384" s="10">
        <f>(D384/B384)-1</f>
        <v/>
      </c>
      <c r="I384" s="7" t="n"/>
      <c r="J384" s="1" t="n">
        <v>42822</v>
      </c>
      <c r="K384" s="25" t="n">
        <v>2913.48</v>
      </c>
      <c r="L384" s="1" t="n">
        <v>43187</v>
      </c>
      <c r="M384" s="25" t="n">
        <v>2780.04</v>
      </c>
      <c r="N384" s="26">
        <f>M384-K384</f>
        <v/>
      </c>
      <c r="O384" s="7">
        <f>(M384/K384)-1</f>
        <v/>
      </c>
      <c r="P384" s="4" t="n"/>
    </row>
    <row hidden="1" r="385" s="64" spans="1:23">
      <c r="A385" s="1" t="n">
        <v>42261</v>
      </c>
      <c r="B385" s="27" t="n">
        <v>3012.96</v>
      </c>
      <c r="C385" s="1" t="n">
        <v>42627</v>
      </c>
      <c r="D385" s="25" t="n">
        <v>2976.19</v>
      </c>
      <c r="E385" s="25" t="n"/>
      <c r="F385" s="25" t="n"/>
      <c r="G385" s="28">
        <f>D385-B385</f>
        <v/>
      </c>
      <c r="H385" s="10">
        <f>(D385/B385)-1</f>
        <v/>
      </c>
      <c r="I385" s="7" t="n"/>
      <c r="J385" s="1" t="n">
        <v>42822</v>
      </c>
      <c r="K385" s="25" t="n">
        <v>2913.48</v>
      </c>
      <c r="L385" s="1" t="n">
        <v>43187</v>
      </c>
      <c r="M385" s="25" t="n">
        <v>2780.04</v>
      </c>
      <c r="N385" s="26">
        <f>M385-K385</f>
        <v/>
      </c>
      <c r="O385" s="7">
        <f>(M385/K385)-1</f>
        <v/>
      </c>
      <c r="P385" s="4" t="n"/>
    </row>
    <row hidden="1" r="386" s="64" spans="1:23">
      <c r="A386" s="1" t="n">
        <v>42262</v>
      </c>
      <c r="B386" s="27" t="n">
        <v>3032.59</v>
      </c>
      <c r="C386" s="1" t="n">
        <v>42628</v>
      </c>
      <c r="D386" s="25" t="n">
        <v>2972.65</v>
      </c>
      <c r="E386" s="25" t="n"/>
      <c r="F386" s="25" t="n"/>
      <c r="G386" s="28">
        <f>D386-B386</f>
        <v/>
      </c>
      <c r="H386" s="10">
        <f>(D386/B386)-1</f>
        <v/>
      </c>
      <c r="I386" s="7" t="n"/>
      <c r="J386" s="1" t="n">
        <v>42822</v>
      </c>
      <c r="K386" s="25" t="n">
        <v>2913.48</v>
      </c>
      <c r="L386" s="1" t="n">
        <v>43187</v>
      </c>
      <c r="M386" s="25" t="n">
        <v>2780.04</v>
      </c>
      <c r="N386" s="26">
        <f>M386-K386</f>
        <v/>
      </c>
      <c r="O386" s="7">
        <f>(M386/K386)-1</f>
        <v/>
      </c>
      <c r="P386" s="4" t="n"/>
    </row>
    <row hidden="1" r="387" s="64" spans="1:23">
      <c r="A387" s="1" t="n">
        <v>42263</v>
      </c>
      <c r="B387" s="27" t="n">
        <v>3025.28</v>
      </c>
      <c r="C387" s="1" t="n">
        <v>42629</v>
      </c>
      <c r="D387" s="25" t="n">
        <v>2938.5</v>
      </c>
      <c r="E387" s="25" t="n"/>
      <c r="F387" s="25" t="n"/>
      <c r="G387" s="28">
        <f>D387-B387</f>
        <v/>
      </c>
      <c r="H387" s="10">
        <f>(D387/B387)-1</f>
        <v/>
      </c>
      <c r="I387" s="7" t="n"/>
      <c r="J387" s="1" t="n">
        <v>42822</v>
      </c>
      <c r="K387" s="25" t="n">
        <v>2913.48</v>
      </c>
      <c r="L387" s="1" t="n">
        <v>43187</v>
      </c>
      <c r="M387" s="25" t="n">
        <v>2780.04</v>
      </c>
      <c r="N387" s="26">
        <f>M387-K387</f>
        <v/>
      </c>
      <c r="O387" s="7">
        <f>(M387/K387)-1</f>
        <v/>
      </c>
      <c r="P387" s="4" t="n"/>
    </row>
    <row hidden="1" r="388" s="64" spans="1:23">
      <c r="A388" s="1" t="n">
        <v>42264</v>
      </c>
      <c r="B388" s="27" t="n">
        <v>2989.04</v>
      </c>
      <c r="C388" s="1" t="n">
        <v>42630</v>
      </c>
      <c r="D388" s="25" t="n">
        <v>2956.58</v>
      </c>
      <c r="E388" s="25" t="n"/>
      <c r="F388" s="25" t="n"/>
      <c r="G388" s="28">
        <f>D388-B388</f>
        <v/>
      </c>
      <c r="H388" s="10">
        <f>(D388/B388)-1</f>
        <v/>
      </c>
      <c r="I388" s="7" t="n"/>
      <c r="J388" s="1" t="n">
        <v>42822</v>
      </c>
      <c r="K388" s="25" t="n">
        <v>2913.48</v>
      </c>
      <c r="L388" s="1" t="n">
        <v>43187</v>
      </c>
      <c r="M388" s="25" t="n">
        <v>2780.04</v>
      </c>
      <c r="N388" s="26">
        <f>M388-K388</f>
        <v/>
      </c>
      <c r="O388" s="7">
        <f>(M388/K388)-1</f>
        <v/>
      </c>
      <c r="P388" s="4" t="n"/>
    </row>
    <row hidden="1" r="389" s="64" spans="1:23">
      <c r="A389" s="1" t="n">
        <v>42265</v>
      </c>
      <c r="B389" s="27" t="n">
        <v>2975.13</v>
      </c>
      <c r="C389" s="1" t="n">
        <v>42631</v>
      </c>
      <c r="D389" s="25" t="n">
        <v>2956.58</v>
      </c>
      <c r="E389" s="25" t="n"/>
      <c r="F389" s="25" t="n"/>
      <c r="G389" s="28">
        <f>D389-B389</f>
        <v/>
      </c>
      <c r="H389" s="10">
        <f>(D389/B389)-1</f>
        <v/>
      </c>
      <c r="I389" s="7" t="n"/>
      <c r="J389" s="1" t="n">
        <v>42822</v>
      </c>
      <c r="K389" s="25" t="n">
        <v>2913.48</v>
      </c>
      <c r="L389" s="1" t="n">
        <v>43187</v>
      </c>
      <c r="M389" s="25" t="n">
        <v>2780.04</v>
      </c>
      <c r="N389" s="26">
        <f>M389-K389</f>
        <v/>
      </c>
      <c r="O389" s="7">
        <f>(M389/K389)-1</f>
        <v/>
      </c>
      <c r="P389" s="4" t="n"/>
    </row>
    <row hidden="1" r="390" s="64" spans="1:23">
      <c r="A390" s="1" t="n">
        <v>42266</v>
      </c>
      <c r="B390" s="27" t="n">
        <v>2984.9</v>
      </c>
      <c r="C390" s="1" t="n">
        <v>42632</v>
      </c>
      <c r="D390" s="25" t="n">
        <v>2956.58</v>
      </c>
      <c r="E390" s="25" t="n"/>
      <c r="F390" s="25" t="n"/>
      <c r="G390" s="28">
        <f>D390-B390</f>
        <v/>
      </c>
      <c r="H390" s="10">
        <f>(D390/B390)-1</f>
        <v/>
      </c>
      <c r="I390" s="7" t="n"/>
      <c r="J390" s="1" t="n">
        <v>42822</v>
      </c>
      <c r="K390" s="25" t="n">
        <v>2913.48</v>
      </c>
      <c r="L390" s="1" t="n">
        <v>43187</v>
      </c>
      <c r="M390" s="25" t="n">
        <v>2780.04</v>
      </c>
      <c r="N390" s="26">
        <f>M390-K390</f>
        <v/>
      </c>
      <c r="O390" s="7">
        <f>(M390/K390)-1</f>
        <v/>
      </c>
      <c r="P390" s="4" t="n"/>
    </row>
    <row hidden="1" r="391" s="64" spans="1:23">
      <c r="A391" s="1" t="n">
        <v>42267</v>
      </c>
      <c r="B391" s="27" t="n">
        <v>2984.9</v>
      </c>
      <c r="C391" s="1" t="n">
        <v>42633</v>
      </c>
      <c r="D391" s="25" t="n">
        <v>2928.18</v>
      </c>
      <c r="E391" s="25" t="n"/>
      <c r="F391" s="25" t="n"/>
      <c r="G391" s="28">
        <f>D391-B391</f>
        <v/>
      </c>
      <c r="H391" s="10">
        <f>(D391/B391)-1</f>
        <v/>
      </c>
      <c r="I391" s="7" t="n"/>
      <c r="J391" s="1" t="n">
        <v>42822</v>
      </c>
      <c r="K391" s="25" t="n">
        <v>2913.48</v>
      </c>
      <c r="L391" s="1" t="n">
        <v>43187</v>
      </c>
      <c r="M391" s="25" t="n">
        <v>2780.04</v>
      </c>
      <c r="N391" s="26">
        <f>M391-K391</f>
        <v/>
      </c>
      <c r="O391" s="7">
        <f>(M391/K391)-1</f>
        <v/>
      </c>
      <c r="P391" s="4" t="n"/>
    </row>
    <row hidden="1" r="392" s="64" spans="1:23">
      <c r="A392" s="1" t="n">
        <v>42268</v>
      </c>
      <c r="B392" s="27" t="n">
        <v>2984.9</v>
      </c>
      <c r="C392" s="1" t="n">
        <v>42634</v>
      </c>
      <c r="D392" s="25" t="n">
        <v>2911.11</v>
      </c>
      <c r="E392" s="25" t="n"/>
      <c r="F392" s="25" t="n"/>
      <c r="G392" s="28">
        <f>D392-B392</f>
        <v/>
      </c>
      <c r="H392" s="10">
        <f>(D392/B392)-1</f>
        <v/>
      </c>
      <c r="I392" s="7" t="n"/>
      <c r="J392" s="1" t="n">
        <v>42822</v>
      </c>
      <c r="K392" s="25" t="n">
        <v>2913.48</v>
      </c>
      <c r="L392" s="1" t="n">
        <v>43187</v>
      </c>
      <c r="M392" s="25" t="n">
        <v>2780.04</v>
      </c>
      <c r="N392" s="26">
        <f>M392-K392</f>
        <v/>
      </c>
      <c r="O392" s="7">
        <f>(M392/K392)-1</f>
        <v/>
      </c>
      <c r="P392" s="4" t="n"/>
    </row>
    <row hidden="1" r="393" s="64" spans="1:23">
      <c r="A393" s="1" t="n">
        <v>42269</v>
      </c>
      <c r="B393" s="27" t="n">
        <v>3001.68</v>
      </c>
      <c r="C393" s="1" t="n">
        <v>42635</v>
      </c>
      <c r="D393" s="25" t="n">
        <v>2894.15</v>
      </c>
      <c r="E393" s="25" t="n"/>
      <c r="F393" s="25" t="n"/>
      <c r="G393" s="28">
        <f>D393-B393</f>
        <v/>
      </c>
      <c r="H393" s="10">
        <f>(D393/B393)-1</f>
        <v/>
      </c>
      <c r="I393" s="7" t="n"/>
      <c r="J393" s="1" t="n">
        <v>42822</v>
      </c>
      <c r="K393" s="25" t="n">
        <v>2913.48</v>
      </c>
      <c r="L393" s="1" t="n">
        <v>43187</v>
      </c>
      <c r="M393" s="25" t="n">
        <v>2780.04</v>
      </c>
      <c r="N393" s="26">
        <f>M393-K393</f>
        <v/>
      </c>
      <c r="O393" s="7">
        <f>(M393/K393)-1</f>
        <v/>
      </c>
      <c r="P393" s="4" t="n"/>
    </row>
    <row hidden="1" r="394" s="64" spans="1:23">
      <c r="A394" s="1" t="n">
        <v>42270</v>
      </c>
      <c r="B394" s="27" t="n">
        <v>3065.74</v>
      </c>
      <c r="C394" s="1" t="n">
        <v>42636</v>
      </c>
      <c r="D394" s="25" t="n">
        <v>2862.52</v>
      </c>
      <c r="E394" s="25" t="n"/>
      <c r="F394" s="25" t="n"/>
      <c r="G394" s="28">
        <f>D394-B394</f>
        <v/>
      </c>
      <c r="H394" s="10">
        <f>(D394/B394)-1</f>
        <v/>
      </c>
      <c r="I394" s="7" t="n"/>
      <c r="J394" s="1" t="n">
        <v>42822</v>
      </c>
      <c r="K394" s="25" t="n">
        <v>2913.48</v>
      </c>
      <c r="L394" s="1" t="n">
        <v>43187</v>
      </c>
      <c r="M394" s="25" t="n">
        <v>2780.04</v>
      </c>
      <c r="N394" s="26">
        <f>M394-K394</f>
        <v/>
      </c>
      <c r="O394" s="7">
        <f>(M394/K394)-1</f>
        <v/>
      </c>
      <c r="P394" s="4" t="n"/>
    </row>
    <row hidden="1" r="395" s="64" spans="1:23">
      <c r="A395" s="1" t="n">
        <v>42271</v>
      </c>
      <c r="B395" s="27" t="n">
        <v>3099.28</v>
      </c>
      <c r="C395" s="1" t="n">
        <v>42637</v>
      </c>
      <c r="D395" s="25" t="n">
        <v>2917.95</v>
      </c>
      <c r="E395" s="25" t="n"/>
      <c r="F395" s="25" t="n"/>
      <c r="G395" s="28">
        <f>D395-B395</f>
        <v/>
      </c>
      <c r="H395" s="10">
        <f>(D395/B395)-1</f>
        <v/>
      </c>
      <c r="I395" s="7" t="n"/>
      <c r="J395" s="1" t="n">
        <v>42822</v>
      </c>
      <c r="K395" s="25" t="n">
        <v>2913.48</v>
      </c>
      <c r="L395" s="1" t="n">
        <v>43187</v>
      </c>
      <c r="M395" s="25" t="n">
        <v>2780.04</v>
      </c>
      <c r="N395" s="26">
        <f>M395-K395</f>
        <v/>
      </c>
      <c r="O395" s="7">
        <f>(M395/K395)-1</f>
        <v/>
      </c>
      <c r="P395" s="4" t="n"/>
    </row>
    <row hidden="1" r="396" s="64" spans="1:23">
      <c r="A396" s="1" t="n">
        <v>42272</v>
      </c>
      <c r="B396" s="27" t="n">
        <v>3135.17</v>
      </c>
      <c r="C396" s="1" t="n">
        <v>42638</v>
      </c>
      <c r="D396" s="25" t="n">
        <v>2917.95</v>
      </c>
      <c r="E396" s="25" t="n"/>
      <c r="F396" s="25" t="n"/>
      <c r="G396" s="28">
        <f>D396-B396</f>
        <v/>
      </c>
      <c r="H396" s="10">
        <f>(D396/B396)-1</f>
        <v/>
      </c>
      <c r="I396" s="7" t="n"/>
      <c r="J396" s="1" t="n">
        <v>42822</v>
      </c>
      <c r="K396" s="25" t="n">
        <v>2913.48</v>
      </c>
      <c r="L396" s="1" t="n">
        <v>43187</v>
      </c>
      <c r="M396" s="25" t="n">
        <v>2780.04</v>
      </c>
      <c r="N396" s="26">
        <f>M396-K396</f>
        <v/>
      </c>
      <c r="O396" s="7">
        <f>(M396/K396)-1</f>
        <v/>
      </c>
      <c r="P396" s="4" t="n"/>
    </row>
    <row hidden="1" r="397" s="64" spans="1:23">
      <c r="A397" s="1" t="n">
        <v>42273</v>
      </c>
      <c r="B397" s="27" t="n">
        <v>3080.44</v>
      </c>
      <c r="C397" s="1" t="n">
        <v>42639</v>
      </c>
      <c r="D397" s="25" t="n">
        <v>2917.95</v>
      </c>
      <c r="E397" s="25" t="n"/>
      <c r="F397" s="25" t="n"/>
      <c r="G397" s="28">
        <f>D397-B397</f>
        <v/>
      </c>
      <c r="H397" s="10">
        <f>(D397/B397)-1</f>
        <v/>
      </c>
      <c r="I397" s="7" t="n"/>
      <c r="J397" s="1" t="n">
        <v>42822</v>
      </c>
      <c r="K397" s="25" t="n">
        <v>2913.48</v>
      </c>
      <c r="L397" s="1" t="n">
        <v>43187</v>
      </c>
      <c r="M397" s="25" t="n">
        <v>2780.04</v>
      </c>
      <c r="N397" s="26">
        <f>M397-K397</f>
        <v/>
      </c>
      <c r="O397" s="7">
        <f>(M397/K397)-1</f>
        <v/>
      </c>
      <c r="P397" s="4" t="n"/>
    </row>
    <row hidden="1" r="398" s="64" spans="1:23">
      <c r="A398" s="1" t="n">
        <v>42274</v>
      </c>
      <c r="B398" s="27" t="n">
        <v>3080.44</v>
      </c>
      <c r="C398" s="1" t="n">
        <v>42640</v>
      </c>
      <c r="D398" s="25" t="n">
        <v>2917.58</v>
      </c>
      <c r="E398" s="25" t="n"/>
      <c r="F398" s="25" t="n"/>
      <c r="G398" s="28">
        <f>D398-B398</f>
        <v/>
      </c>
      <c r="H398" s="10">
        <f>(D398/B398)-1</f>
        <v/>
      </c>
      <c r="I398" s="7" t="n"/>
      <c r="J398" s="1" t="n">
        <v>42822</v>
      </c>
      <c r="K398" s="25" t="n">
        <v>2913.48</v>
      </c>
      <c r="L398" s="1" t="n">
        <v>43187</v>
      </c>
      <c r="M398" s="25" t="n">
        <v>2780.04</v>
      </c>
      <c r="N398" s="26">
        <f>M398-K398</f>
        <v/>
      </c>
      <c r="O398" s="7">
        <f>(M398/K398)-1</f>
        <v/>
      </c>
      <c r="P398" s="4" t="n"/>
    </row>
    <row hidden="1" r="399" s="64" spans="1:23">
      <c r="A399" s="1" t="n">
        <v>42275</v>
      </c>
      <c r="B399" s="27" t="n">
        <v>3080.44</v>
      </c>
      <c r="C399" s="1" t="n">
        <v>42641</v>
      </c>
      <c r="D399" s="25" t="n">
        <v>2921.99</v>
      </c>
      <c r="E399" s="25" t="n"/>
      <c r="F399" s="25" t="n"/>
      <c r="G399" s="28">
        <f>D399-B399</f>
        <v/>
      </c>
      <c r="H399" s="10">
        <f>(D399/B399)-1</f>
        <v/>
      </c>
      <c r="I399" s="7" t="n"/>
      <c r="J399" s="1" t="n">
        <v>42822</v>
      </c>
      <c r="K399" s="25" t="n">
        <v>2913.48</v>
      </c>
      <c r="L399" s="1" t="n">
        <v>43187</v>
      </c>
      <c r="M399" s="25" t="n">
        <v>2780.04</v>
      </c>
      <c r="N399" s="26">
        <f>M399-K399</f>
        <v/>
      </c>
      <c r="O399" s="7">
        <f>(M399/K399)-1</f>
        <v/>
      </c>
      <c r="P399" s="4" t="n"/>
    </row>
    <row hidden="1" r="400" s="64" spans="1:23">
      <c r="A400" s="1" t="n">
        <v>42276</v>
      </c>
      <c r="B400" s="27" t="n">
        <v>3096.98</v>
      </c>
      <c r="C400" s="1" t="n">
        <v>42642</v>
      </c>
      <c r="D400" s="25" t="n">
        <v>2914.11</v>
      </c>
      <c r="E400" s="25" t="n"/>
      <c r="F400" s="25" t="n"/>
      <c r="G400" s="28">
        <f>D400-B400</f>
        <v/>
      </c>
      <c r="H400" s="10">
        <f>(D400/B400)-1</f>
        <v/>
      </c>
      <c r="I400" s="7" t="n"/>
      <c r="J400" s="1" t="n">
        <v>42822</v>
      </c>
      <c r="K400" s="25" t="n">
        <v>2913.48</v>
      </c>
      <c r="L400" s="1" t="n">
        <v>43187</v>
      </c>
      <c r="M400" s="25" t="n">
        <v>2780.04</v>
      </c>
      <c r="N400" s="26">
        <f>M400-K400</f>
        <v/>
      </c>
      <c r="O400" s="7">
        <f>(M400/K400)-1</f>
        <v/>
      </c>
      <c r="P400" s="4" t="n"/>
    </row>
    <row hidden="1" r="401" s="64" spans="1:23">
      <c r="A401" s="1" t="n">
        <v>42277</v>
      </c>
      <c r="B401" s="27" t="n">
        <v>3121.94</v>
      </c>
      <c r="C401" s="1" t="n">
        <v>42643</v>
      </c>
      <c r="D401" s="25" t="n">
        <v>2879.95</v>
      </c>
      <c r="E401" s="25" t="n"/>
      <c r="F401" s="25" t="n"/>
      <c r="G401" s="28">
        <f>D401-B401</f>
        <v/>
      </c>
      <c r="H401" s="10">
        <f>(D401/B401)-1</f>
        <v/>
      </c>
      <c r="I401" s="7" t="n"/>
      <c r="J401" s="1" t="n">
        <v>42822</v>
      </c>
      <c r="K401" s="25" t="n">
        <v>2913.48</v>
      </c>
      <c r="L401" s="1" t="n">
        <v>43187</v>
      </c>
      <c r="M401" s="25" t="n">
        <v>2780.04</v>
      </c>
      <c r="N401" s="26">
        <f>M401-K401</f>
        <v/>
      </c>
      <c r="O401" s="7">
        <f>(M401/K401)-1</f>
        <v/>
      </c>
      <c r="P401" s="4" t="n"/>
    </row>
    <row hidden="1" r="402" s="64" spans="1:23">
      <c r="A402" s="1" t="n">
        <v>42278</v>
      </c>
      <c r="B402" s="27" t="n">
        <v>3086.75</v>
      </c>
      <c r="C402" s="1" t="n">
        <v>42644</v>
      </c>
      <c r="D402" s="25" t="n">
        <v>2880.08</v>
      </c>
      <c r="E402" s="25" t="n"/>
      <c r="F402" s="25" t="n"/>
      <c r="G402" s="28">
        <f>D402-B402</f>
        <v/>
      </c>
      <c r="H402" s="10">
        <f>(D402/B402)-1</f>
        <v/>
      </c>
      <c r="I402" s="7" t="n"/>
      <c r="J402" s="1" t="n">
        <v>42822</v>
      </c>
      <c r="K402" s="25" t="n">
        <v>2913.48</v>
      </c>
      <c r="L402" s="1" t="n">
        <v>43187</v>
      </c>
      <c r="M402" s="25" t="n">
        <v>2780.04</v>
      </c>
      <c r="N402" s="26">
        <f>M402-K402</f>
        <v/>
      </c>
      <c r="O402" s="7">
        <f>(M402/K402)-1</f>
        <v/>
      </c>
      <c r="P402" s="4" t="n"/>
    </row>
    <row hidden="1" r="403" s="64" spans="1:23">
      <c r="A403" s="1" t="n">
        <v>42279</v>
      </c>
      <c r="B403" s="27" t="n">
        <v>3061.85</v>
      </c>
      <c r="C403" s="1" t="n">
        <v>42645</v>
      </c>
      <c r="D403" s="25" t="n">
        <v>2880.08</v>
      </c>
      <c r="E403" s="25" t="n"/>
      <c r="F403" s="25" t="n"/>
      <c r="G403" s="28">
        <f>D403-B403</f>
        <v/>
      </c>
      <c r="H403" s="10">
        <f>(D403/B403)-1</f>
        <v/>
      </c>
      <c r="I403" s="7" t="n"/>
      <c r="J403" s="1" t="n">
        <v>42822</v>
      </c>
      <c r="K403" s="25" t="n">
        <v>2913.48</v>
      </c>
      <c r="L403" s="1" t="n">
        <v>43187</v>
      </c>
      <c r="M403" s="25" t="n">
        <v>2780.04</v>
      </c>
      <c r="N403" s="26">
        <f>M403-K403</f>
        <v/>
      </c>
      <c r="O403" s="7">
        <f>(M403/K403)-1</f>
        <v/>
      </c>
      <c r="P403" s="4" t="n"/>
    </row>
    <row hidden="1" r="404" s="64" spans="1:23">
      <c r="A404" s="1" t="n">
        <v>42280</v>
      </c>
      <c r="B404" s="27" t="n">
        <v>3034.9</v>
      </c>
      <c r="C404" s="1" t="n">
        <v>42646</v>
      </c>
      <c r="D404" s="25" t="n">
        <v>2880.08</v>
      </c>
      <c r="E404" s="25" t="n"/>
      <c r="F404" s="25" t="n"/>
      <c r="G404" s="28">
        <f>D404-B404</f>
        <v/>
      </c>
      <c r="H404" s="10">
        <f>(D404/B404)-1</f>
        <v/>
      </c>
      <c r="I404" s="7" t="n"/>
      <c r="J404" s="1" t="n">
        <v>42822</v>
      </c>
      <c r="K404" s="25" t="n">
        <v>2913.48</v>
      </c>
      <c r="L404" s="1" t="n">
        <v>43187</v>
      </c>
      <c r="M404" s="25" t="n">
        <v>2780.04</v>
      </c>
      <c r="N404" s="26">
        <f>M404-K404</f>
        <v/>
      </c>
      <c r="O404" s="7">
        <f>(M404/K404)-1</f>
        <v/>
      </c>
      <c r="P404" s="4" t="n"/>
    </row>
    <row hidden="1" r="405" s="64" spans="1:23">
      <c r="A405" s="1" t="n">
        <v>42281</v>
      </c>
      <c r="B405" s="27" t="n">
        <v>3034.9</v>
      </c>
      <c r="C405" s="1" t="n">
        <v>42647</v>
      </c>
      <c r="D405" s="25" t="n">
        <v>2937.23</v>
      </c>
      <c r="E405" s="25" t="n"/>
      <c r="F405" s="25" t="n"/>
      <c r="G405" s="28">
        <f>D405-B405</f>
        <v/>
      </c>
      <c r="H405" s="10">
        <f>(D405/B405)-1</f>
        <v/>
      </c>
      <c r="I405" s="7" t="n"/>
      <c r="J405" s="1" t="n">
        <v>42822</v>
      </c>
      <c r="K405" s="25" t="n">
        <v>2913.48</v>
      </c>
      <c r="L405" s="1" t="n">
        <v>43187</v>
      </c>
      <c r="M405" s="25" t="n">
        <v>2780.04</v>
      </c>
      <c r="N405" s="26">
        <f>M405-K405</f>
        <v/>
      </c>
      <c r="O405" s="7">
        <f>(M405/K405)-1</f>
        <v/>
      </c>
      <c r="P405" s="4" t="n"/>
    </row>
    <row hidden="1" r="406" s="64" spans="1:23">
      <c r="A406" s="1" t="n">
        <v>42282</v>
      </c>
      <c r="B406" s="27" t="n">
        <v>3034.9</v>
      </c>
      <c r="C406" s="1" t="n">
        <v>42648</v>
      </c>
      <c r="D406" s="25" t="n">
        <v>2963.06</v>
      </c>
      <c r="E406" s="25" t="n"/>
      <c r="F406" s="25" t="n"/>
      <c r="G406" s="28">
        <f>D406-B406</f>
        <v/>
      </c>
      <c r="H406" s="10">
        <f>(D406/B406)-1</f>
        <v/>
      </c>
      <c r="I406" s="7" t="n"/>
      <c r="J406" s="1" t="n">
        <v>42822</v>
      </c>
      <c r="K406" s="25" t="n">
        <v>2913.48</v>
      </c>
      <c r="L406" s="1" t="n">
        <v>43187</v>
      </c>
      <c r="M406" s="25" t="n">
        <v>2780.04</v>
      </c>
      <c r="N406" s="26">
        <f>M406-K406</f>
        <v/>
      </c>
      <c r="O406" s="7">
        <f>(M406/K406)-1</f>
        <v/>
      </c>
      <c r="P406" s="4" t="n"/>
    </row>
    <row hidden="1" r="407" s="64" spans="1:23">
      <c r="A407" s="1" t="n">
        <v>42283</v>
      </c>
      <c r="B407" s="27" t="n">
        <v>2971.15</v>
      </c>
      <c r="C407" s="1" t="n">
        <v>42649</v>
      </c>
      <c r="D407" s="25" t="n">
        <v>2964.93</v>
      </c>
      <c r="E407" s="25" t="n"/>
      <c r="F407" s="25" t="n"/>
      <c r="G407" s="28">
        <f>D407-B407</f>
        <v/>
      </c>
      <c r="H407" s="10">
        <f>(D407/B407)-1</f>
        <v/>
      </c>
      <c r="I407" s="7" t="n"/>
      <c r="J407" s="1" t="n">
        <v>42822</v>
      </c>
      <c r="K407" s="25" t="n">
        <v>2913.48</v>
      </c>
      <c r="L407" s="1" t="n">
        <v>43187</v>
      </c>
      <c r="M407" s="25" t="n">
        <v>2780.04</v>
      </c>
      <c r="N407" s="26">
        <f>M407-K407</f>
        <v/>
      </c>
      <c r="O407" s="7">
        <f>(M407/K407)-1</f>
        <v/>
      </c>
      <c r="P407" s="4" t="n"/>
    </row>
    <row hidden="1" r="408" s="64" spans="1:23">
      <c r="A408" s="1" t="n">
        <v>42284</v>
      </c>
      <c r="B408" s="27" t="n">
        <v>2913.74</v>
      </c>
      <c r="C408" s="1" t="n">
        <v>42650</v>
      </c>
      <c r="D408" s="25" t="n">
        <v>2924.8</v>
      </c>
      <c r="E408" s="25" t="n"/>
      <c r="F408" s="25" t="n"/>
      <c r="G408" s="28">
        <f>D408-B408</f>
        <v/>
      </c>
      <c r="H408" s="10">
        <f>(D408/B408)-1</f>
        <v/>
      </c>
      <c r="I408" s="7" t="n"/>
      <c r="J408" s="1" t="n">
        <v>42822</v>
      </c>
      <c r="K408" s="25" t="n">
        <v>2913.48</v>
      </c>
      <c r="L408" s="1" t="n">
        <v>43187</v>
      </c>
      <c r="M408" s="25" t="n">
        <v>2780.04</v>
      </c>
      <c r="N408" s="26">
        <f>M408-K408</f>
        <v/>
      </c>
      <c r="O408" s="7">
        <f>(M408/K408)-1</f>
        <v/>
      </c>
      <c r="P408" s="4" t="n"/>
    </row>
    <row hidden="1" r="409" s="64" spans="1:23">
      <c r="A409" s="1" t="n">
        <v>42285</v>
      </c>
      <c r="B409" s="27" t="n">
        <v>2891.91</v>
      </c>
      <c r="C409" s="1" t="n">
        <v>42651</v>
      </c>
      <c r="D409" s="25" t="n">
        <v>2913.96</v>
      </c>
      <c r="E409" s="25" t="n"/>
      <c r="F409" s="25" t="n"/>
      <c r="G409" s="28">
        <f>D409-B409</f>
        <v/>
      </c>
      <c r="H409" s="10">
        <f>(D409/B409)-1</f>
        <v/>
      </c>
      <c r="I409" s="7" t="n"/>
      <c r="J409" s="1" t="n">
        <v>42822</v>
      </c>
      <c r="K409" s="25" t="n">
        <v>2913.48</v>
      </c>
      <c r="L409" s="1" t="n">
        <v>43187</v>
      </c>
      <c r="M409" s="25" t="n">
        <v>2780.04</v>
      </c>
      <c r="N409" s="26">
        <f>M409-K409</f>
        <v/>
      </c>
      <c r="O409" s="7">
        <f>(M409/K409)-1</f>
        <v/>
      </c>
      <c r="P409" s="4" t="n"/>
    </row>
    <row hidden="1" r="410" s="64" spans="1:23">
      <c r="A410" s="1" t="n">
        <v>42286</v>
      </c>
      <c r="B410" s="27" t="n">
        <v>2887.21</v>
      </c>
      <c r="C410" s="1" t="n">
        <v>42652</v>
      </c>
      <c r="D410" s="25" t="n">
        <v>2913.96</v>
      </c>
      <c r="E410" s="25" t="n"/>
      <c r="F410" s="25" t="n"/>
      <c r="G410" s="28">
        <f>D410-B410</f>
        <v/>
      </c>
      <c r="H410" s="10">
        <f>(D410/B410)-1</f>
        <v/>
      </c>
      <c r="I410" s="7" t="n"/>
      <c r="J410" s="1" t="n">
        <v>42822</v>
      </c>
      <c r="K410" s="25" t="n">
        <v>2913.48</v>
      </c>
      <c r="L410" s="1" t="n">
        <v>43187</v>
      </c>
      <c r="M410" s="25" t="n">
        <v>2780.04</v>
      </c>
      <c r="N410" s="26">
        <f>M410-K410</f>
        <v/>
      </c>
      <c r="O410" s="7">
        <f>(M410/K410)-1</f>
        <v/>
      </c>
      <c r="P410" s="4" t="n"/>
    </row>
    <row hidden="1" r="411" s="64" spans="1:23">
      <c r="A411" s="1" t="n">
        <v>42287</v>
      </c>
      <c r="B411" s="27" t="n">
        <v>2855.74</v>
      </c>
      <c r="C411" s="1" t="n">
        <v>42653</v>
      </c>
      <c r="D411" s="25" t="n">
        <v>2913.96</v>
      </c>
      <c r="E411" s="25" t="n"/>
      <c r="F411" s="25" t="n"/>
      <c r="G411" s="28">
        <f>D411-B411</f>
        <v/>
      </c>
      <c r="H411" s="10">
        <f>(D411/B411)-1</f>
        <v/>
      </c>
      <c r="I411" s="7" t="n"/>
      <c r="J411" s="1" t="n">
        <v>42822</v>
      </c>
      <c r="K411" s="25" t="n">
        <v>2913.48</v>
      </c>
      <c r="L411" s="1" t="n">
        <v>43187</v>
      </c>
      <c r="M411" s="25" t="n">
        <v>2780.04</v>
      </c>
      <c r="N411" s="26">
        <f>M411-K411</f>
        <v/>
      </c>
      <c r="O411" s="7">
        <f>(M411/K411)-1</f>
        <v/>
      </c>
      <c r="P411" s="4" t="n"/>
    </row>
    <row hidden="1" r="412" s="64" spans="1:23">
      <c r="A412" s="1" t="n">
        <v>42288</v>
      </c>
      <c r="B412" s="27" t="n">
        <v>2855.74</v>
      </c>
      <c r="C412" s="1" t="n">
        <v>42654</v>
      </c>
      <c r="D412" s="25" t="n">
        <v>2913.96</v>
      </c>
      <c r="E412" s="25" t="n"/>
      <c r="F412" s="25" t="n"/>
      <c r="G412" s="28">
        <f>D412-B412</f>
        <v/>
      </c>
      <c r="H412" s="10">
        <f>(D412/B412)-1</f>
        <v/>
      </c>
      <c r="I412" s="7" t="n"/>
      <c r="J412" s="1" t="n">
        <v>42822</v>
      </c>
      <c r="K412" s="25" t="n">
        <v>2913.48</v>
      </c>
      <c r="L412" s="1" t="n">
        <v>43187</v>
      </c>
      <c r="M412" s="25" t="n">
        <v>2780.04</v>
      </c>
      <c r="N412" s="26">
        <f>M412-K412</f>
        <v/>
      </c>
      <c r="O412" s="7">
        <f>(M412/K412)-1</f>
        <v/>
      </c>
      <c r="P412" s="4" t="n"/>
    </row>
    <row hidden="1" r="413" s="64" spans="1:23">
      <c r="A413" s="1" t="n">
        <v>42289</v>
      </c>
      <c r="B413" s="27" t="n">
        <v>2855.74</v>
      </c>
      <c r="C413" s="1" t="n">
        <v>42655</v>
      </c>
      <c r="D413" s="25" t="n">
        <v>2919.51</v>
      </c>
      <c r="E413" s="25" t="n"/>
      <c r="F413" s="25" t="n"/>
      <c r="G413" s="28">
        <f>D413-B413</f>
        <v/>
      </c>
      <c r="H413" s="10">
        <f>(D413/B413)-1</f>
        <v/>
      </c>
      <c r="I413" s="7" t="n"/>
      <c r="J413" s="1" t="n">
        <v>42822</v>
      </c>
      <c r="K413" s="25" t="n">
        <v>2913.48</v>
      </c>
      <c r="L413" s="1" t="n">
        <v>43187</v>
      </c>
      <c r="M413" s="25" t="n">
        <v>2780.04</v>
      </c>
      <c r="N413" s="26">
        <f>M413-K413</f>
        <v/>
      </c>
      <c r="O413" s="7">
        <f>(M413/K413)-1</f>
        <v/>
      </c>
      <c r="P413" s="4" t="n"/>
    </row>
    <row hidden="1" r="414" s="64" spans="1:23">
      <c r="A414" s="1" t="n">
        <v>42290</v>
      </c>
      <c r="B414" s="27" t="n">
        <v>2855.74</v>
      </c>
      <c r="C414" s="1" t="n">
        <v>42656</v>
      </c>
      <c r="D414" s="25" t="n">
        <v>2919.18</v>
      </c>
      <c r="E414" s="25" t="n"/>
      <c r="F414" s="25" t="n"/>
      <c r="G414" s="28">
        <f>D414-B414</f>
        <v/>
      </c>
      <c r="H414" s="10">
        <f>(D414/B414)-1</f>
        <v/>
      </c>
      <c r="I414" s="7" t="n"/>
      <c r="J414" s="1" t="n">
        <v>42822</v>
      </c>
      <c r="K414" s="25" t="n">
        <v>2913.48</v>
      </c>
      <c r="L414" s="1" t="n">
        <v>43187</v>
      </c>
      <c r="M414" s="25" t="n">
        <v>2780.04</v>
      </c>
      <c r="N414" s="26">
        <f>M414-K414</f>
        <v/>
      </c>
      <c r="O414" s="7">
        <f>(M414/K414)-1</f>
        <v/>
      </c>
      <c r="P414" s="4" t="n"/>
    </row>
    <row hidden="1" r="415" s="64" spans="1:23">
      <c r="A415" s="1" t="n">
        <v>42291</v>
      </c>
      <c r="B415" s="27" t="n">
        <v>2910.7</v>
      </c>
      <c r="C415" s="1" t="n">
        <v>42657</v>
      </c>
      <c r="D415" s="25" t="n">
        <v>2930.78</v>
      </c>
      <c r="E415" s="25" t="n"/>
      <c r="F415" s="25" t="n"/>
      <c r="G415" s="28">
        <f>D415-B415</f>
        <v/>
      </c>
      <c r="H415" s="10">
        <f>(D415/B415)-1</f>
        <v/>
      </c>
      <c r="I415" s="7" t="n"/>
      <c r="J415" s="1" t="n">
        <v>42822</v>
      </c>
      <c r="K415" s="25" t="n">
        <v>2913.48</v>
      </c>
      <c r="L415" s="1" t="n">
        <v>43187</v>
      </c>
      <c r="M415" s="25" t="n">
        <v>2780.04</v>
      </c>
      <c r="N415" s="26">
        <f>M415-K415</f>
        <v/>
      </c>
      <c r="O415" s="7">
        <f>(M415/K415)-1</f>
        <v/>
      </c>
      <c r="P415" s="4" t="n"/>
    </row>
    <row hidden="1" r="416" s="64" spans="1:23">
      <c r="A416" s="1" t="n">
        <v>42292</v>
      </c>
      <c r="B416" s="27" t="n">
        <v>2928.69</v>
      </c>
      <c r="C416" s="1" t="n">
        <v>42658</v>
      </c>
      <c r="D416" s="25" t="n">
        <v>2915.67</v>
      </c>
      <c r="E416" s="25" t="n"/>
      <c r="F416" s="25" t="n"/>
      <c r="G416" s="28">
        <f>D416-B416</f>
        <v/>
      </c>
      <c r="H416" s="10">
        <f>(D416/B416)-1</f>
        <v/>
      </c>
      <c r="I416" s="7" t="n"/>
      <c r="J416" s="1" t="n">
        <v>42822</v>
      </c>
      <c r="K416" s="25" t="n">
        <v>2913.48</v>
      </c>
      <c r="L416" s="1" t="n">
        <v>43187</v>
      </c>
      <c r="M416" s="25" t="n">
        <v>2780.04</v>
      </c>
      <c r="N416" s="26">
        <f>M416-K416</f>
        <v/>
      </c>
      <c r="O416" s="7">
        <f>(M416/K416)-1</f>
        <v/>
      </c>
      <c r="P416" s="4" t="n"/>
    </row>
    <row hidden="1" r="417" s="64" spans="1:23">
      <c r="A417" s="1" t="n">
        <v>42293</v>
      </c>
      <c r="B417" s="27" t="n">
        <v>2908.87</v>
      </c>
      <c r="C417" s="1" t="n">
        <v>42659</v>
      </c>
      <c r="D417" s="25" t="n">
        <v>2915.67</v>
      </c>
      <c r="E417" s="25" t="n"/>
      <c r="F417" s="25" t="n"/>
      <c r="G417" s="28">
        <f>D417-B417</f>
        <v/>
      </c>
      <c r="H417" s="10">
        <f>(D417/B417)-1</f>
        <v/>
      </c>
      <c r="I417" s="7" t="n"/>
      <c r="J417" s="1" t="n">
        <v>42822</v>
      </c>
      <c r="K417" s="25" t="n">
        <v>2913.48</v>
      </c>
      <c r="L417" s="1" t="n">
        <v>43187</v>
      </c>
      <c r="M417" s="25" t="n">
        <v>2780.04</v>
      </c>
      <c r="N417" s="26">
        <f>M417-K417</f>
        <v/>
      </c>
      <c r="O417" s="7">
        <f>(M417/K417)-1</f>
        <v/>
      </c>
      <c r="P417" s="4" t="n"/>
    </row>
    <row hidden="1" r="418" s="64" spans="1:23">
      <c r="A418" s="1" t="n">
        <v>42294</v>
      </c>
      <c r="B418" s="27" t="n">
        <v>2879.89</v>
      </c>
      <c r="C418" s="1" t="n">
        <v>42660</v>
      </c>
      <c r="D418" s="25" t="n">
        <v>2915.67</v>
      </c>
      <c r="E418" s="25" t="n"/>
      <c r="F418" s="25" t="n"/>
      <c r="G418" s="28">
        <f>D418-B418</f>
        <v/>
      </c>
      <c r="H418" s="10">
        <f>(D418/B418)-1</f>
        <v/>
      </c>
      <c r="I418" s="7" t="n"/>
      <c r="J418" s="1" t="n">
        <v>42822</v>
      </c>
      <c r="K418" s="25" t="n">
        <v>2913.48</v>
      </c>
      <c r="L418" s="1" t="n">
        <v>43187</v>
      </c>
      <c r="M418" s="25" t="n">
        <v>2780.04</v>
      </c>
      <c r="N418" s="26">
        <f>M418-K418</f>
        <v/>
      </c>
      <c r="O418" s="7">
        <f>(M418/K418)-1</f>
        <v/>
      </c>
      <c r="P418" s="4" t="n"/>
    </row>
    <row hidden="1" r="419" s="64" spans="1:23">
      <c r="A419" s="1" t="n">
        <v>42295</v>
      </c>
      <c r="B419" s="27" t="n">
        <v>2879.89</v>
      </c>
      <c r="C419" s="1" t="n">
        <v>42661</v>
      </c>
      <c r="D419" s="25" t="n">
        <v>2915.67</v>
      </c>
      <c r="E419" s="25" t="n"/>
      <c r="F419" s="25" t="n"/>
      <c r="G419" s="28">
        <f>D419-B419</f>
        <v/>
      </c>
      <c r="H419" s="10">
        <f>(D419/B419)-1</f>
        <v/>
      </c>
      <c r="I419" s="7" t="n"/>
      <c r="J419" s="1" t="n">
        <v>42822</v>
      </c>
      <c r="K419" s="25" t="n">
        <v>2913.48</v>
      </c>
      <c r="L419" s="1" t="n">
        <v>43187</v>
      </c>
      <c r="M419" s="25" t="n">
        <v>2780.04</v>
      </c>
      <c r="N419" s="26">
        <f>M419-K419</f>
        <v/>
      </c>
      <c r="O419" s="7">
        <f>(M419/K419)-1</f>
        <v/>
      </c>
      <c r="P419" s="4" t="n"/>
    </row>
    <row hidden="1" r="420" s="64" spans="1:23">
      <c r="A420" s="1" t="n">
        <v>42296</v>
      </c>
      <c r="B420" s="27" t="n">
        <v>2879.89</v>
      </c>
      <c r="C420" s="1" t="n">
        <v>42662</v>
      </c>
      <c r="D420" s="25" t="n">
        <v>2905.93</v>
      </c>
      <c r="E420" s="25" t="n"/>
      <c r="F420" s="25" t="n"/>
      <c r="G420" s="28">
        <f>D420-B420</f>
        <v/>
      </c>
      <c r="H420" s="10">
        <f>(D420/B420)-1</f>
        <v/>
      </c>
      <c r="I420" s="7" t="n"/>
      <c r="J420" s="1" t="n">
        <v>42822</v>
      </c>
      <c r="K420" s="25" t="n">
        <v>2913.48</v>
      </c>
      <c r="L420" s="1" t="n">
        <v>43187</v>
      </c>
      <c r="M420" s="25" t="n">
        <v>2780.04</v>
      </c>
      <c r="N420" s="26">
        <f>M420-K420</f>
        <v/>
      </c>
      <c r="O420" s="7">
        <f>(M420/K420)-1</f>
        <v/>
      </c>
      <c r="P420" s="4" t="n"/>
    </row>
    <row hidden="1" r="421" s="64" spans="1:23">
      <c r="A421" s="1" t="n">
        <v>42297</v>
      </c>
      <c r="B421" s="27" t="n">
        <v>2912.99</v>
      </c>
      <c r="C421" s="1" t="n">
        <v>42663</v>
      </c>
      <c r="D421" s="25" t="n">
        <v>2914.15</v>
      </c>
      <c r="E421" s="25" t="n"/>
      <c r="F421" s="25" t="n"/>
      <c r="G421" s="28">
        <f>D421-B421</f>
        <v/>
      </c>
      <c r="H421" s="10">
        <f>(D421/B421)-1</f>
        <v/>
      </c>
      <c r="I421" s="7" t="n"/>
      <c r="J421" s="1" t="n">
        <v>42822</v>
      </c>
      <c r="K421" s="25" t="n">
        <v>2913.48</v>
      </c>
      <c r="L421" s="1" t="n">
        <v>43187</v>
      </c>
      <c r="M421" s="25" t="n">
        <v>2780.04</v>
      </c>
      <c r="N421" s="26">
        <f>M421-K421</f>
        <v/>
      </c>
      <c r="O421" s="7">
        <f>(M421/K421)-1</f>
        <v/>
      </c>
      <c r="P421" s="4" t="n"/>
    </row>
    <row hidden="1" r="422" s="64" spans="1:23">
      <c r="A422" s="1" t="n">
        <v>42298</v>
      </c>
      <c r="B422" s="27" t="n">
        <v>2929.19</v>
      </c>
      <c r="C422" s="1" t="n">
        <v>42664</v>
      </c>
      <c r="D422" s="25" t="n">
        <v>2934.03</v>
      </c>
      <c r="E422" s="25" t="n"/>
      <c r="F422" s="25" t="n"/>
      <c r="G422" s="28">
        <f>D422-B422</f>
        <v/>
      </c>
      <c r="H422" s="10">
        <f>(D422/B422)-1</f>
        <v/>
      </c>
      <c r="I422" s="7" t="n"/>
      <c r="J422" s="1" t="n">
        <v>42822</v>
      </c>
      <c r="K422" s="25" t="n">
        <v>2913.48</v>
      </c>
      <c r="L422" s="1" t="n">
        <v>43187</v>
      </c>
      <c r="M422" s="25" t="n">
        <v>2780.04</v>
      </c>
      <c r="N422" s="26">
        <f>M422-K422</f>
        <v/>
      </c>
      <c r="O422" s="7">
        <f>(M422/K422)-1</f>
        <v/>
      </c>
      <c r="P422" s="4" t="n"/>
    </row>
    <row hidden="1" r="423" s="64" spans="1:23">
      <c r="A423" s="1" t="n">
        <v>42299</v>
      </c>
      <c r="B423" s="27" t="n">
        <v>2966.68</v>
      </c>
      <c r="C423" s="1" t="n">
        <v>42665</v>
      </c>
      <c r="D423" s="25" t="n">
        <v>2944.25</v>
      </c>
      <c r="E423" s="25" t="n"/>
      <c r="F423" s="25" t="n"/>
      <c r="G423" s="28">
        <f>D423-B423</f>
        <v/>
      </c>
      <c r="H423" s="10">
        <f>(D423/B423)-1</f>
        <v/>
      </c>
      <c r="I423" s="7" t="n"/>
      <c r="J423" s="1" t="n">
        <v>42822</v>
      </c>
      <c r="K423" s="25" t="n">
        <v>2913.48</v>
      </c>
      <c r="L423" s="1" t="n">
        <v>43187</v>
      </c>
      <c r="M423" s="25" t="n">
        <v>2780.04</v>
      </c>
      <c r="N423" s="26">
        <f>M423-K423</f>
        <v/>
      </c>
      <c r="O423" s="7">
        <f>(M423/K423)-1</f>
        <v/>
      </c>
      <c r="P423" s="4" t="n"/>
    </row>
    <row hidden="1" r="424" s="64" spans="1:23">
      <c r="A424" s="1" t="n">
        <v>42300</v>
      </c>
      <c r="B424" s="27" t="n">
        <v>2925.36</v>
      </c>
      <c r="C424" s="1" t="n">
        <v>42666</v>
      </c>
      <c r="D424" s="25" t="n">
        <v>2944.25</v>
      </c>
      <c r="E424" s="25" t="n"/>
      <c r="F424" s="25" t="n"/>
      <c r="G424" s="28">
        <f>D424-B424</f>
        <v/>
      </c>
      <c r="H424" s="10">
        <f>(D424/B424)-1</f>
        <v/>
      </c>
      <c r="I424" s="7" t="n"/>
      <c r="J424" s="1" t="n">
        <v>42822</v>
      </c>
      <c r="K424" s="25" t="n">
        <v>2913.48</v>
      </c>
      <c r="L424" s="1" t="n">
        <v>43187</v>
      </c>
      <c r="M424" s="25" t="n">
        <v>2780.04</v>
      </c>
      <c r="N424" s="26">
        <f>M424-K424</f>
        <v/>
      </c>
      <c r="O424" s="7">
        <f>(M424/K424)-1</f>
        <v/>
      </c>
      <c r="P424" s="4" t="n"/>
    </row>
    <row hidden="1" r="425" s="64" spans="1:23">
      <c r="A425" s="1" t="n">
        <v>42301</v>
      </c>
      <c r="B425" s="27" t="n">
        <v>2912.08</v>
      </c>
      <c r="C425" s="1" t="n">
        <v>42667</v>
      </c>
      <c r="D425" s="25" t="n">
        <v>2944.25</v>
      </c>
      <c r="E425" s="25" t="n"/>
      <c r="F425" s="25" t="n"/>
      <c r="G425" s="28">
        <f>D425-B425</f>
        <v/>
      </c>
      <c r="H425" s="10">
        <f>(D425/B425)-1</f>
        <v/>
      </c>
      <c r="I425" s="7" t="n"/>
      <c r="J425" s="1" t="n">
        <v>42822</v>
      </c>
      <c r="K425" s="25" t="n">
        <v>2913.48</v>
      </c>
      <c r="L425" s="1" t="n">
        <v>43187</v>
      </c>
      <c r="M425" s="25" t="n">
        <v>2780.04</v>
      </c>
      <c r="N425" s="26">
        <f>M425-K425</f>
        <v/>
      </c>
      <c r="O425" s="7">
        <f>(M425/K425)-1</f>
        <v/>
      </c>
      <c r="P425" s="4" t="n"/>
    </row>
    <row hidden="1" r="426" s="64" spans="1:23">
      <c r="A426" s="1" t="n">
        <v>42302</v>
      </c>
      <c r="B426" s="27" t="n">
        <v>2912.08</v>
      </c>
      <c r="C426" s="1" t="n">
        <v>42668</v>
      </c>
      <c r="D426" s="25" t="n">
        <v>2929.83</v>
      </c>
      <c r="E426" s="25" t="n"/>
      <c r="F426" s="25" t="n"/>
      <c r="G426" s="28">
        <f>D426-B426</f>
        <v/>
      </c>
      <c r="H426" s="10">
        <f>(D426/B426)-1</f>
        <v/>
      </c>
      <c r="I426" s="7" t="n"/>
      <c r="J426" s="1" t="n">
        <v>42822</v>
      </c>
      <c r="K426" s="25" t="n">
        <v>2913.48</v>
      </c>
      <c r="L426" s="1" t="n">
        <v>43187</v>
      </c>
      <c r="M426" s="25" t="n">
        <v>2780.04</v>
      </c>
      <c r="N426" s="26">
        <f>M426-K426</f>
        <v/>
      </c>
      <c r="O426" s="7">
        <f>(M426/K426)-1</f>
        <v/>
      </c>
      <c r="P426" s="4" t="n"/>
    </row>
    <row hidden="1" r="427" s="64" spans="1:23">
      <c r="A427" s="1" t="n">
        <v>42303</v>
      </c>
      <c r="B427" s="27" t="n">
        <v>2912.08</v>
      </c>
      <c r="C427" s="1" t="n">
        <v>42669</v>
      </c>
      <c r="D427" s="25" t="n">
        <v>2941.34</v>
      </c>
      <c r="E427" s="25" t="n"/>
      <c r="F427" s="25" t="n"/>
      <c r="G427" s="28">
        <f>D427-B427</f>
        <v/>
      </c>
      <c r="H427" s="10">
        <f>(D427/B427)-1</f>
        <v/>
      </c>
      <c r="I427" s="7" t="n"/>
      <c r="J427" s="1" t="n">
        <v>42822</v>
      </c>
      <c r="K427" s="25" t="n">
        <v>2913.48</v>
      </c>
      <c r="L427" s="1" t="n">
        <v>43187</v>
      </c>
      <c r="M427" s="25" t="n">
        <v>2780.04</v>
      </c>
      <c r="N427" s="26">
        <f>M427-K427</f>
        <v/>
      </c>
      <c r="O427" s="7">
        <f>(M427/K427)-1</f>
        <v/>
      </c>
      <c r="P427" s="4" t="n"/>
    </row>
    <row hidden="1" r="428" s="64" spans="1:23">
      <c r="A428" s="1" t="n">
        <v>42304</v>
      </c>
      <c r="B428" s="27" t="n">
        <v>2918.21</v>
      </c>
      <c r="C428" s="1" t="n">
        <v>42670</v>
      </c>
      <c r="D428" s="25" t="n">
        <v>2965.18</v>
      </c>
      <c r="E428" s="25" t="n"/>
      <c r="F428" s="25" t="n"/>
      <c r="G428" s="28">
        <f>D428-B428</f>
        <v/>
      </c>
      <c r="H428" s="10">
        <f>(D428/B428)-1</f>
        <v/>
      </c>
      <c r="I428" s="7" t="n"/>
      <c r="J428" s="1" t="n">
        <v>42822</v>
      </c>
      <c r="K428" s="25" t="n">
        <v>2913.48</v>
      </c>
      <c r="L428" s="1" t="n">
        <v>43187</v>
      </c>
      <c r="M428" s="25" t="n">
        <v>2780.04</v>
      </c>
      <c r="N428" s="26">
        <f>M428-K428</f>
        <v/>
      </c>
      <c r="O428" s="7">
        <f>(M428/K428)-1</f>
        <v/>
      </c>
      <c r="P428" s="4" t="n"/>
    </row>
    <row hidden="1" r="429" s="64" spans="1:23">
      <c r="A429" s="1" t="n">
        <v>42305</v>
      </c>
      <c r="B429" s="27" t="n">
        <v>2950.87</v>
      </c>
      <c r="C429" s="1" t="n">
        <v>42671</v>
      </c>
      <c r="D429" s="25" t="n">
        <v>2966.61</v>
      </c>
      <c r="E429" s="25" t="n"/>
      <c r="F429" s="25" t="n"/>
      <c r="G429" s="28">
        <f>D429-B429</f>
        <v/>
      </c>
      <c r="H429" s="10">
        <f>(D429/B429)-1</f>
        <v/>
      </c>
      <c r="I429" s="7" t="n"/>
      <c r="J429" s="1" t="n">
        <v>42822</v>
      </c>
      <c r="K429" s="25" t="n">
        <v>2913.48</v>
      </c>
      <c r="L429" s="1" t="n">
        <v>43187</v>
      </c>
      <c r="M429" s="25" t="n">
        <v>2780.04</v>
      </c>
      <c r="N429" s="26">
        <f>M429-K429</f>
        <v/>
      </c>
      <c r="O429" s="7">
        <f>(M429/K429)-1</f>
        <v/>
      </c>
      <c r="P429" s="4" t="n"/>
    </row>
    <row hidden="1" r="430" s="64" spans="1:23">
      <c r="A430" s="1" t="n">
        <v>42306</v>
      </c>
      <c r="B430" s="27" t="n">
        <v>2926.75</v>
      </c>
      <c r="C430" s="1" t="n">
        <v>42672</v>
      </c>
      <c r="D430" s="25" t="n">
        <v>2967.66</v>
      </c>
      <c r="E430" s="25" t="n"/>
      <c r="F430" s="25" t="n"/>
      <c r="G430" s="28">
        <f>D430-B430</f>
        <v/>
      </c>
      <c r="H430" s="10">
        <f>(D430/B430)-1</f>
        <v/>
      </c>
      <c r="I430" s="7" t="n"/>
      <c r="J430" s="1" t="n">
        <v>42822</v>
      </c>
      <c r="K430" s="25" t="n">
        <v>2913.48</v>
      </c>
      <c r="L430" s="1" t="n">
        <v>43187</v>
      </c>
      <c r="M430" s="25" t="n">
        <v>2780.04</v>
      </c>
      <c r="N430" s="26">
        <f>M430-K430</f>
        <v/>
      </c>
      <c r="O430" s="7">
        <f>(M430/K430)-1</f>
        <v/>
      </c>
      <c r="P430" s="4" t="n"/>
    </row>
    <row hidden="1" r="431" s="64" spans="1:23">
      <c r="A431" s="1" t="n">
        <v>42307</v>
      </c>
      <c r="B431" s="27" t="n">
        <v>2921.32</v>
      </c>
      <c r="C431" s="1" t="n">
        <v>42673</v>
      </c>
      <c r="D431" s="25" t="n">
        <v>2967.66</v>
      </c>
      <c r="E431" s="25" t="n"/>
      <c r="F431" s="25" t="n"/>
      <c r="G431" s="28">
        <f>D431-B431</f>
        <v/>
      </c>
      <c r="H431" s="10">
        <f>(D431/B431)-1</f>
        <v/>
      </c>
      <c r="I431" s="7" t="n"/>
      <c r="J431" s="1" t="n">
        <v>42822</v>
      </c>
      <c r="K431" s="25" t="n">
        <v>2913.48</v>
      </c>
      <c r="L431" s="1" t="n">
        <v>43187</v>
      </c>
      <c r="M431" s="25" t="n">
        <v>2780.04</v>
      </c>
      <c r="N431" s="26">
        <f>M431-K431</f>
        <v/>
      </c>
      <c r="O431" s="7">
        <f>(M431/K431)-1</f>
        <v/>
      </c>
      <c r="P431" s="4" t="n"/>
    </row>
    <row hidden="1" r="432" s="64" spans="1:23">
      <c r="A432" s="1" t="n">
        <v>42308</v>
      </c>
      <c r="B432" s="27" t="n">
        <v>2897.83</v>
      </c>
      <c r="C432" s="1" t="n">
        <v>42674</v>
      </c>
      <c r="D432" s="25" t="n">
        <v>2967.66</v>
      </c>
      <c r="E432" s="25" t="n"/>
      <c r="F432" s="25" t="n"/>
      <c r="G432" s="28">
        <f>D432-B432</f>
        <v/>
      </c>
      <c r="H432" s="10">
        <f>(D432/B432)-1</f>
        <v/>
      </c>
      <c r="I432" s="7" t="n"/>
      <c r="J432" s="1" t="n">
        <v>42822</v>
      </c>
      <c r="K432" s="25" t="n">
        <v>2913.48</v>
      </c>
      <c r="L432" s="1" t="n">
        <v>43187</v>
      </c>
      <c r="M432" s="25" t="n">
        <v>2780.04</v>
      </c>
      <c r="N432" s="26">
        <f>M432-K432</f>
        <v/>
      </c>
      <c r="O432" s="7">
        <f>(M432/K432)-1</f>
        <v/>
      </c>
      <c r="P432" s="4" t="n"/>
    </row>
    <row hidden="1" r="433" s="64" spans="1:23">
      <c r="A433" s="1" t="n">
        <v>42309</v>
      </c>
      <c r="B433" s="27" t="n">
        <v>2897.83</v>
      </c>
      <c r="C433" s="1" t="n">
        <v>42675</v>
      </c>
      <c r="D433" s="25" t="n">
        <v>2988.55</v>
      </c>
      <c r="E433" s="25" t="n"/>
      <c r="F433" s="25" t="n"/>
      <c r="G433" s="28">
        <f>D433-B433</f>
        <v/>
      </c>
      <c r="H433" s="10">
        <f>(D433/B433)-1</f>
        <v/>
      </c>
      <c r="I433" s="7" t="n"/>
      <c r="J433" s="1" t="n">
        <v>42822</v>
      </c>
      <c r="K433" s="25" t="n">
        <v>2913.48</v>
      </c>
      <c r="L433" s="1" t="n">
        <v>43187</v>
      </c>
      <c r="M433" s="25" t="n">
        <v>2780.04</v>
      </c>
      <c r="N433" s="26">
        <f>M433-K433</f>
        <v/>
      </c>
      <c r="O433" s="7">
        <f>(M433/K433)-1</f>
        <v/>
      </c>
      <c r="P433" s="4" t="n"/>
    </row>
    <row hidden="1" r="434" s="64" spans="1:23">
      <c r="A434" s="1" t="n">
        <v>42310</v>
      </c>
      <c r="B434" s="27" t="n">
        <v>2897.83</v>
      </c>
      <c r="C434" s="1" t="n">
        <v>42676</v>
      </c>
      <c r="D434" s="25" t="n">
        <v>3026.68</v>
      </c>
      <c r="E434" s="25" t="n"/>
      <c r="F434" s="25" t="n"/>
      <c r="G434" s="28">
        <f>D434-B434</f>
        <v/>
      </c>
      <c r="H434" s="10">
        <f>(D434/B434)-1</f>
        <v/>
      </c>
      <c r="I434" s="7" t="n"/>
      <c r="J434" s="1" t="n">
        <v>42822</v>
      </c>
      <c r="K434" s="25" t="n">
        <v>2913.48</v>
      </c>
      <c r="L434" s="1" t="n">
        <v>43187</v>
      </c>
      <c r="M434" s="25" t="n">
        <v>2780.04</v>
      </c>
      <c r="N434" s="26">
        <f>M434-K434</f>
        <v/>
      </c>
      <c r="O434" s="7">
        <f>(M434/K434)-1</f>
        <v/>
      </c>
      <c r="P434" s="4" t="n"/>
    </row>
    <row hidden="1" r="435" s="64" spans="1:23">
      <c r="A435" s="1" t="n">
        <v>42311</v>
      </c>
      <c r="B435" s="27" t="n">
        <v>2897.83</v>
      </c>
      <c r="C435" s="1" t="n">
        <v>42677</v>
      </c>
      <c r="D435" s="25" t="n">
        <v>3070.54</v>
      </c>
      <c r="E435" s="25" t="n"/>
      <c r="F435" s="25" t="n"/>
      <c r="G435" s="28">
        <f>D435-B435</f>
        <v/>
      </c>
      <c r="H435" s="10">
        <f>(D435/B435)-1</f>
        <v/>
      </c>
      <c r="I435" s="7" t="n"/>
      <c r="J435" s="1" t="n">
        <v>42822</v>
      </c>
      <c r="K435" s="25" t="n">
        <v>2913.48</v>
      </c>
      <c r="L435" s="1" t="n">
        <v>43187</v>
      </c>
      <c r="M435" s="25" t="n">
        <v>2780.04</v>
      </c>
      <c r="N435" s="26">
        <f>M435-K435</f>
        <v/>
      </c>
      <c r="O435" s="7">
        <f>(M435/K435)-1</f>
        <v/>
      </c>
      <c r="P435" s="4" t="n"/>
    </row>
    <row hidden="1" r="436" s="64" spans="1:23">
      <c r="A436" s="1" t="n">
        <v>42312</v>
      </c>
      <c r="B436" s="27" t="n">
        <v>2825.25</v>
      </c>
      <c r="C436" s="1" t="n">
        <v>42678</v>
      </c>
      <c r="D436" s="25" t="n">
        <v>3071.12</v>
      </c>
      <c r="E436" s="25" t="n"/>
      <c r="F436" s="25" t="n"/>
      <c r="G436" s="28">
        <f>D436-B436</f>
        <v/>
      </c>
      <c r="H436" s="10">
        <f>(D436/B436)-1</f>
        <v/>
      </c>
      <c r="I436" s="7" t="n"/>
      <c r="J436" s="1" t="n">
        <v>42822</v>
      </c>
      <c r="K436" s="25" t="n">
        <v>2913.48</v>
      </c>
      <c r="L436" s="1" t="n">
        <v>43187</v>
      </c>
      <c r="M436" s="25" t="n">
        <v>2780.04</v>
      </c>
      <c r="N436" s="26">
        <f>M436-K436</f>
        <v/>
      </c>
      <c r="O436" s="7">
        <f>(M436/K436)-1</f>
        <v/>
      </c>
      <c r="P436" s="4" t="n"/>
    </row>
    <row hidden="1" r="437" s="64" spans="1:23">
      <c r="A437" s="1" t="n">
        <v>42313</v>
      </c>
      <c r="B437" s="27" t="n">
        <v>2819.63</v>
      </c>
      <c r="C437" s="1" t="n">
        <v>42679</v>
      </c>
      <c r="D437" s="25" t="n">
        <v>3070.4</v>
      </c>
      <c r="E437" s="25" t="n"/>
      <c r="F437" s="25" t="n"/>
      <c r="G437" s="28">
        <f>D437-B437</f>
        <v/>
      </c>
      <c r="H437" s="10">
        <f>(D437/B437)-1</f>
        <v/>
      </c>
      <c r="I437" s="7" t="n"/>
      <c r="J437" s="1" t="n">
        <v>42822</v>
      </c>
      <c r="K437" s="25" t="n">
        <v>2913.48</v>
      </c>
      <c r="L437" s="1" t="n">
        <v>43187</v>
      </c>
      <c r="M437" s="25" t="n">
        <v>2780.04</v>
      </c>
      <c r="N437" s="26">
        <f>M437-K437</f>
        <v/>
      </c>
      <c r="O437" s="7">
        <f>(M437/K437)-1</f>
        <v/>
      </c>
      <c r="P437" s="4" t="n"/>
    </row>
    <row hidden="1" r="438" s="64" spans="1:23">
      <c r="A438" s="1" t="n">
        <v>42314</v>
      </c>
      <c r="B438" s="27" t="n">
        <v>2853.32</v>
      </c>
      <c r="C438" s="1" t="n">
        <v>42680</v>
      </c>
      <c r="D438" s="25" t="n">
        <v>3070.4</v>
      </c>
      <c r="E438" s="25" t="n"/>
      <c r="F438" s="25" t="n"/>
      <c r="G438" s="28">
        <f>D438-B438</f>
        <v/>
      </c>
      <c r="H438" s="10">
        <f>(D438/B438)-1</f>
        <v/>
      </c>
      <c r="I438" s="7" t="n"/>
      <c r="J438" s="1" t="n">
        <v>42822</v>
      </c>
      <c r="K438" s="25" t="n">
        <v>2913.48</v>
      </c>
      <c r="L438" s="1" t="n">
        <v>43187</v>
      </c>
      <c r="M438" s="25" t="n">
        <v>2780.04</v>
      </c>
      <c r="N438" s="26">
        <f>M438-K438</f>
        <v/>
      </c>
      <c r="O438" s="7">
        <f>(M438/K438)-1</f>
        <v/>
      </c>
      <c r="P438" s="4" t="n"/>
    </row>
    <row hidden="1" r="439" s="64" spans="1:23">
      <c r="A439" s="1" t="n">
        <v>42315</v>
      </c>
      <c r="B439" s="27" t="n">
        <v>2896.19</v>
      </c>
      <c r="C439" s="1" t="n">
        <v>42681</v>
      </c>
      <c r="D439" s="25" t="n">
        <v>3070.4</v>
      </c>
      <c r="E439" s="25" t="n"/>
      <c r="F439" s="25" t="n"/>
      <c r="G439" s="28">
        <f>D439-B439</f>
        <v/>
      </c>
      <c r="H439" s="10">
        <f>(D439/B439)-1</f>
        <v/>
      </c>
      <c r="I439" s="7" t="n"/>
      <c r="J439" s="1" t="n">
        <v>42822</v>
      </c>
      <c r="K439" s="25" t="n">
        <v>2913.48</v>
      </c>
      <c r="L439" s="1" t="n">
        <v>43187</v>
      </c>
      <c r="M439" s="25" t="n">
        <v>2780.04</v>
      </c>
      <c r="N439" s="26">
        <f>M439-K439</f>
        <v/>
      </c>
      <c r="O439" s="7">
        <f>(M439/K439)-1</f>
        <v/>
      </c>
      <c r="P439" s="4" t="n"/>
    </row>
    <row hidden="1" r="440" s="64" spans="1:23">
      <c r="A440" s="1" t="n">
        <v>42316</v>
      </c>
      <c r="B440" s="27" t="n">
        <v>2896.19</v>
      </c>
      <c r="C440" s="1" t="n">
        <v>42682</v>
      </c>
      <c r="D440" s="25" t="n">
        <v>3070.4</v>
      </c>
      <c r="E440" s="25" t="n"/>
      <c r="F440" s="25" t="n"/>
      <c r="G440" s="28">
        <f>D440-B440</f>
        <v/>
      </c>
      <c r="H440" s="10">
        <f>(D440/B440)-1</f>
        <v/>
      </c>
      <c r="I440" s="7" t="n"/>
      <c r="J440" s="1" t="n">
        <v>42822</v>
      </c>
      <c r="K440" s="25" t="n">
        <v>2913.48</v>
      </c>
      <c r="L440" s="1" t="n">
        <v>43187</v>
      </c>
      <c r="M440" s="25" t="n">
        <v>2780.04</v>
      </c>
      <c r="N440" s="26">
        <f>M440-K440</f>
        <v/>
      </c>
      <c r="O440" s="7">
        <f>(M440/K440)-1</f>
        <v/>
      </c>
      <c r="P440" s="4" t="n"/>
    </row>
    <row hidden="1" r="441" s="64" spans="1:23">
      <c r="A441" s="1" t="n">
        <v>42317</v>
      </c>
      <c r="B441" s="27" t="n">
        <v>2896.19</v>
      </c>
      <c r="C441" s="1" t="n">
        <v>42683</v>
      </c>
      <c r="D441" s="25" t="n">
        <v>2984.78</v>
      </c>
      <c r="E441" s="25" t="n"/>
      <c r="F441" s="25" t="n"/>
      <c r="G441" s="28">
        <f>D441-B441</f>
        <v/>
      </c>
      <c r="H441" s="10">
        <f>(D441/B441)-1</f>
        <v/>
      </c>
      <c r="I441" s="7" t="n"/>
      <c r="J441" s="1" t="n">
        <v>42822</v>
      </c>
      <c r="K441" s="25" t="n">
        <v>2913.48</v>
      </c>
      <c r="L441" s="1" t="n">
        <v>43187</v>
      </c>
      <c r="M441" s="25" t="n">
        <v>2780.04</v>
      </c>
      <c r="N441" s="26">
        <f>M441-K441</f>
        <v/>
      </c>
      <c r="O441" s="7">
        <f>(M441/K441)-1</f>
        <v/>
      </c>
      <c r="P441" s="4" t="n"/>
    </row>
    <row hidden="1" r="442" s="64" spans="1:23">
      <c r="A442" s="1" t="n">
        <v>42318</v>
      </c>
      <c r="B442" s="27" t="n">
        <v>2921.15</v>
      </c>
      <c r="C442" s="1" t="n">
        <v>42684</v>
      </c>
      <c r="D442" s="25" t="n">
        <v>3012.12</v>
      </c>
      <c r="E442" s="25" t="n"/>
      <c r="F442" s="25" t="n"/>
      <c r="G442" s="28">
        <f>D442-B442</f>
        <v/>
      </c>
      <c r="H442" s="10">
        <f>(D442/B442)-1</f>
        <v/>
      </c>
      <c r="I442" s="7" t="n"/>
      <c r="J442" s="1" t="n">
        <v>42822</v>
      </c>
      <c r="K442" s="25" t="n">
        <v>2913.48</v>
      </c>
      <c r="L442" s="1" t="n">
        <v>43187</v>
      </c>
      <c r="M442" s="25" t="n">
        <v>2780.04</v>
      </c>
      <c r="N442" s="26">
        <f>M442-K442</f>
        <v/>
      </c>
      <c r="O442" s="7">
        <f>(M442/K442)-1</f>
        <v/>
      </c>
      <c r="P442" s="4" t="n"/>
    </row>
    <row hidden="1" r="443" s="64" spans="1:23">
      <c r="A443" s="1" t="n">
        <v>42319</v>
      </c>
      <c r="B443" s="27" t="n">
        <v>2935.86</v>
      </c>
      <c r="C443" s="1" t="n">
        <v>42685</v>
      </c>
      <c r="D443" s="25" t="n">
        <v>3100.12</v>
      </c>
      <c r="E443" s="25" t="n"/>
      <c r="F443" s="25" t="n"/>
      <c r="G443" s="28">
        <f>D443-B443</f>
        <v/>
      </c>
      <c r="H443" s="10">
        <f>(D443/B443)-1</f>
        <v/>
      </c>
      <c r="I443" s="7" t="n"/>
      <c r="J443" s="1" t="n">
        <v>42822</v>
      </c>
      <c r="K443" s="25" t="n">
        <v>2913.48</v>
      </c>
      <c r="L443" s="1" t="n">
        <v>43187</v>
      </c>
      <c r="M443" s="25" t="n">
        <v>2780.04</v>
      </c>
      <c r="N443" s="26">
        <f>M443-K443</f>
        <v/>
      </c>
      <c r="O443" s="7">
        <f>(M443/K443)-1</f>
        <v/>
      </c>
      <c r="P443" s="4" t="n"/>
    </row>
    <row hidden="1" r="444" s="64" spans="1:23">
      <c r="A444" s="1" t="n">
        <v>42320</v>
      </c>
      <c r="B444" s="27" t="n">
        <v>2935.86</v>
      </c>
      <c r="C444" s="1" t="n">
        <v>42686</v>
      </c>
      <c r="D444" s="25" t="n">
        <v>3100.12</v>
      </c>
      <c r="E444" s="25" t="n"/>
      <c r="F444" s="25" t="n"/>
      <c r="G444" s="28">
        <f>D444-B444</f>
        <v/>
      </c>
      <c r="H444" s="10">
        <f>(D444/B444)-1</f>
        <v/>
      </c>
      <c r="I444" s="7" t="n"/>
      <c r="J444" s="1" t="n">
        <v>42822</v>
      </c>
      <c r="K444" s="25" t="n">
        <v>2913.48</v>
      </c>
      <c r="L444" s="1" t="n">
        <v>43187</v>
      </c>
      <c r="M444" s="25" t="n">
        <v>2780.04</v>
      </c>
      <c r="N444" s="26">
        <f>M444-K444</f>
        <v/>
      </c>
      <c r="O444" s="7">
        <f>(M444/K444)-1</f>
        <v/>
      </c>
      <c r="P444" s="4" t="n"/>
    </row>
    <row hidden="1" r="445" s="64" spans="1:23">
      <c r="A445" s="1" t="n">
        <v>42321</v>
      </c>
      <c r="B445" s="27" t="n">
        <v>3009.36</v>
      </c>
      <c r="C445" s="1" t="n">
        <v>42687</v>
      </c>
      <c r="D445" s="25" t="n">
        <v>3100.12</v>
      </c>
      <c r="E445" s="25" t="n"/>
      <c r="F445" s="25" t="n"/>
      <c r="G445" s="28">
        <f>D445-B445</f>
        <v/>
      </c>
      <c r="H445" s="10">
        <f>(D445/B445)-1</f>
        <v/>
      </c>
      <c r="I445" s="7" t="n"/>
      <c r="J445" s="1" t="n">
        <v>42822</v>
      </c>
      <c r="K445" s="25" t="n">
        <v>2913.48</v>
      </c>
      <c r="L445" s="1" t="n">
        <v>43187</v>
      </c>
      <c r="M445" s="25" t="n">
        <v>2780.04</v>
      </c>
      <c r="N445" s="26">
        <f>M445-K445</f>
        <v/>
      </c>
      <c r="O445" s="7">
        <f>(M445/K445)-1</f>
        <v/>
      </c>
      <c r="P445" s="4" t="n"/>
    </row>
    <row hidden="1" r="446" s="64" spans="1:23">
      <c r="A446" s="1" t="n">
        <v>42322</v>
      </c>
      <c r="B446" s="27" t="n">
        <v>3073.23</v>
      </c>
      <c r="C446" s="1" t="n">
        <v>42688</v>
      </c>
      <c r="D446" s="25" t="n">
        <v>3100.12</v>
      </c>
      <c r="E446" s="25" t="n"/>
      <c r="F446" s="25" t="n"/>
      <c r="G446" s="28">
        <f>D446-B446</f>
        <v/>
      </c>
      <c r="H446" s="10">
        <f>(D446/B446)-1</f>
        <v/>
      </c>
      <c r="I446" s="7" t="n"/>
      <c r="J446" s="1" t="n">
        <v>42822</v>
      </c>
      <c r="K446" s="25" t="n">
        <v>2913.48</v>
      </c>
      <c r="L446" s="1" t="n">
        <v>43187</v>
      </c>
      <c r="M446" s="25" t="n">
        <v>2780.04</v>
      </c>
      <c r="N446" s="26">
        <f>M446-K446</f>
        <v/>
      </c>
      <c r="O446" s="7">
        <f>(M446/K446)-1</f>
        <v/>
      </c>
      <c r="P446" s="4" t="n"/>
    </row>
    <row hidden="1" r="447" s="64" spans="1:23">
      <c r="A447" s="1" t="n">
        <v>42323</v>
      </c>
      <c r="B447" s="27" t="n">
        <v>3073.23</v>
      </c>
      <c r="C447" s="1" t="n">
        <v>42689</v>
      </c>
      <c r="D447" s="25" t="n">
        <v>3100.12</v>
      </c>
      <c r="E447" s="25" t="n"/>
      <c r="F447" s="25" t="n"/>
      <c r="G447" s="28">
        <f>D447-B447</f>
        <v/>
      </c>
      <c r="H447" s="10">
        <f>(D447/B447)-1</f>
        <v/>
      </c>
      <c r="I447" s="7" t="n"/>
      <c r="J447" s="1" t="n">
        <v>42822</v>
      </c>
      <c r="K447" s="25" t="n">
        <v>2913.48</v>
      </c>
      <c r="L447" s="1" t="n">
        <v>43187</v>
      </c>
      <c r="M447" s="25" t="n">
        <v>2780.04</v>
      </c>
      <c r="N447" s="26">
        <f>M447-K447</f>
        <v/>
      </c>
      <c r="O447" s="7">
        <f>(M447/K447)-1</f>
        <v/>
      </c>
      <c r="P447" s="4" t="n"/>
    </row>
    <row hidden="1" r="448" s="64" spans="1:23">
      <c r="A448" s="1" t="n">
        <v>42324</v>
      </c>
      <c r="B448" s="27" t="n">
        <v>3073.23</v>
      </c>
      <c r="C448" s="1" t="n">
        <v>42690</v>
      </c>
      <c r="D448" s="25" t="n">
        <v>3124.91</v>
      </c>
      <c r="E448" s="25" t="n"/>
      <c r="F448" s="25" t="n"/>
      <c r="G448" s="28">
        <f>D448-B448</f>
        <v/>
      </c>
      <c r="H448" s="10">
        <f>(D448/B448)-1</f>
        <v/>
      </c>
      <c r="I448" s="7" t="n"/>
      <c r="J448" s="1" t="n">
        <v>42822</v>
      </c>
      <c r="K448" s="25" t="n">
        <v>2913.48</v>
      </c>
      <c r="L448" s="1" t="n">
        <v>43187</v>
      </c>
      <c r="M448" s="25" t="n">
        <v>2780.04</v>
      </c>
      <c r="N448" s="26">
        <f>M448-K448</f>
        <v/>
      </c>
      <c r="O448" s="7">
        <f>(M448/K448)-1</f>
        <v/>
      </c>
      <c r="P448" s="4" t="n"/>
    </row>
    <row hidden="1" r="449" s="64" spans="1:23">
      <c r="A449" s="1" t="n">
        <v>42325</v>
      </c>
      <c r="B449" s="27" t="n">
        <v>3073.23</v>
      </c>
      <c r="C449" s="1" t="n">
        <v>42691</v>
      </c>
      <c r="D449" s="25" t="n">
        <v>3131.11</v>
      </c>
      <c r="E449" s="25" t="n"/>
      <c r="F449" s="25" t="n"/>
      <c r="G449" s="28">
        <f>D449-B449</f>
        <v/>
      </c>
      <c r="H449" s="10">
        <f>(D449/B449)-1</f>
        <v/>
      </c>
      <c r="I449" s="7" t="n"/>
      <c r="J449" s="1" t="n">
        <v>42822</v>
      </c>
      <c r="K449" s="25" t="n">
        <v>2913.48</v>
      </c>
      <c r="L449" s="1" t="n">
        <v>43187</v>
      </c>
      <c r="M449" s="25" t="n">
        <v>2780.04</v>
      </c>
      <c r="N449" s="26">
        <f>M449-K449</f>
        <v/>
      </c>
      <c r="O449" s="7">
        <f>(M449/K449)-1</f>
        <v/>
      </c>
      <c r="P449" s="4" t="n"/>
    </row>
    <row hidden="1" r="450" s="64" spans="1:23">
      <c r="A450" s="1" t="n">
        <v>42326</v>
      </c>
      <c r="B450" s="27" t="n">
        <v>3069.24</v>
      </c>
      <c r="C450" s="1" t="n">
        <v>42692</v>
      </c>
      <c r="D450" s="25" t="n">
        <v>3135.65</v>
      </c>
      <c r="E450" s="25" t="n"/>
      <c r="F450" s="25" t="n"/>
      <c r="G450" s="28">
        <f>D450-B450</f>
        <v/>
      </c>
      <c r="H450" s="10">
        <f>(D450/B450)-1</f>
        <v/>
      </c>
      <c r="I450" s="7" t="n"/>
      <c r="J450" s="1" t="n">
        <v>42822</v>
      </c>
      <c r="K450" s="25" t="n">
        <v>2913.48</v>
      </c>
      <c r="L450" s="1" t="n">
        <v>43187</v>
      </c>
      <c r="M450" s="25" t="n">
        <v>2780.04</v>
      </c>
      <c r="N450" s="26">
        <f>M450-K450</f>
        <v/>
      </c>
      <c r="O450" s="7">
        <f>(M450/K450)-1</f>
        <v/>
      </c>
      <c r="P450" s="4" t="n"/>
    </row>
    <row hidden="1" r="451" s="64" spans="1:23">
      <c r="A451" s="1" t="n">
        <v>42327</v>
      </c>
      <c r="B451" s="27" t="n">
        <v>3108.7</v>
      </c>
      <c r="C451" s="1" t="n">
        <v>42693</v>
      </c>
      <c r="D451" s="25" t="n">
        <v>3163.49</v>
      </c>
      <c r="E451" s="25" t="n"/>
      <c r="F451" s="25" t="n"/>
      <c r="G451" s="28">
        <f>D451-B451</f>
        <v/>
      </c>
      <c r="H451" s="10">
        <f>(D451/B451)-1</f>
        <v/>
      </c>
      <c r="I451" s="7" t="n"/>
      <c r="J451" s="1" t="n">
        <v>42822</v>
      </c>
      <c r="K451" s="25" t="n">
        <v>2913.48</v>
      </c>
      <c r="L451" s="1" t="n">
        <v>43187</v>
      </c>
      <c r="M451" s="25" t="n">
        <v>2780.04</v>
      </c>
      <c r="N451" s="26">
        <f>M451-K451</f>
        <v/>
      </c>
      <c r="O451" s="7">
        <f>(M451/K451)-1</f>
        <v/>
      </c>
      <c r="P451" s="4" t="n"/>
    </row>
    <row hidden="1" r="452" s="64" spans="1:23">
      <c r="A452" s="1" t="n">
        <v>42328</v>
      </c>
      <c r="B452" s="27" t="n">
        <v>3082.04</v>
      </c>
      <c r="C452" s="1" t="n">
        <v>42694</v>
      </c>
      <c r="D452" s="25" t="n">
        <v>3163.49</v>
      </c>
      <c r="E452" s="25" t="n"/>
      <c r="F452" s="25" t="n"/>
      <c r="G452" s="28">
        <f>D452-B452</f>
        <v/>
      </c>
      <c r="H452" s="10">
        <f>(D452/B452)-1</f>
        <v/>
      </c>
      <c r="I452" s="7" t="n"/>
      <c r="J452" s="1" t="n">
        <v>42822</v>
      </c>
      <c r="K452" s="25" t="n">
        <v>2913.48</v>
      </c>
      <c r="L452" s="1" t="n">
        <v>43187</v>
      </c>
      <c r="M452" s="25" t="n">
        <v>2780.04</v>
      </c>
      <c r="N452" s="26">
        <f>M452-K452</f>
        <v/>
      </c>
      <c r="O452" s="7">
        <f>(M452/K452)-1</f>
        <v/>
      </c>
      <c r="P452" s="4" t="n"/>
    </row>
    <row hidden="1" r="453" s="64" spans="1:23">
      <c r="A453" s="1" t="n">
        <v>42329</v>
      </c>
      <c r="B453" s="27" t="n">
        <v>3047.31</v>
      </c>
      <c r="C453" s="1" t="n">
        <v>42695</v>
      </c>
      <c r="D453" s="25" t="n">
        <v>3163.49</v>
      </c>
      <c r="E453" s="25" t="n"/>
      <c r="F453" s="25" t="n"/>
      <c r="G453" s="28">
        <f>D453-B453</f>
        <v/>
      </c>
      <c r="H453" s="10">
        <f>(D453/B453)-1</f>
        <v/>
      </c>
      <c r="I453" s="7" t="n"/>
      <c r="J453" s="1" t="n">
        <v>42822</v>
      </c>
      <c r="K453" s="25" t="n">
        <v>2913.48</v>
      </c>
      <c r="L453" s="1" t="n">
        <v>43187</v>
      </c>
      <c r="M453" s="25" t="n">
        <v>2780.04</v>
      </c>
      <c r="N453" s="26">
        <f>M453-K453</f>
        <v/>
      </c>
      <c r="O453" s="7">
        <f>(M453/K453)-1</f>
        <v/>
      </c>
      <c r="P453" s="4" t="n"/>
    </row>
    <row hidden="1" r="454" s="64" spans="1:23">
      <c r="A454" s="1" t="n">
        <v>42330</v>
      </c>
      <c r="B454" s="27" t="n">
        <v>3047.31</v>
      </c>
      <c r="C454" s="1" t="n">
        <v>42696</v>
      </c>
      <c r="D454" s="25" t="n">
        <v>3144.72</v>
      </c>
      <c r="E454" s="25" t="n"/>
      <c r="F454" s="25" t="n"/>
      <c r="G454" s="28">
        <f>D454-B454</f>
        <v/>
      </c>
      <c r="H454" s="10">
        <f>(D454/B454)-1</f>
        <v/>
      </c>
      <c r="I454" s="7" t="n"/>
      <c r="J454" s="1" t="n">
        <v>42822</v>
      </c>
      <c r="K454" s="25" t="n">
        <v>2913.48</v>
      </c>
      <c r="L454" s="1" t="n">
        <v>43187</v>
      </c>
      <c r="M454" s="25" t="n">
        <v>2780.04</v>
      </c>
      <c r="N454" s="26">
        <f>M454-K454</f>
        <v/>
      </c>
      <c r="O454" s="7">
        <f>(M454/K454)-1</f>
        <v/>
      </c>
      <c r="P454" s="4" t="n"/>
    </row>
    <row hidden="1" r="455" s="64" spans="1:23">
      <c r="A455" s="1" t="n">
        <v>42331</v>
      </c>
      <c r="B455" s="27" t="n">
        <v>3047.31</v>
      </c>
      <c r="C455" s="1" t="n">
        <v>42697</v>
      </c>
      <c r="D455" s="25" t="n">
        <v>3139.76</v>
      </c>
      <c r="E455" s="25" t="n"/>
      <c r="F455" s="25" t="n"/>
      <c r="G455" s="28">
        <f>D455-B455</f>
        <v/>
      </c>
      <c r="H455" s="10">
        <f>(D455/B455)-1</f>
        <v/>
      </c>
      <c r="I455" s="7" t="n"/>
      <c r="J455" s="1" t="n">
        <v>42822</v>
      </c>
      <c r="K455" s="25" t="n">
        <v>2913.48</v>
      </c>
      <c r="L455" s="1" t="n">
        <v>43187</v>
      </c>
      <c r="M455" s="25" t="n">
        <v>2780.04</v>
      </c>
      <c r="N455" s="26">
        <f>M455-K455</f>
        <v/>
      </c>
      <c r="O455" s="7">
        <f>(M455/K455)-1</f>
        <v/>
      </c>
      <c r="P455" s="4" t="n"/>
    </row>
    <row hidden="1" r="456" s="64" spans="1:23">
      <c r="A456" s="1" t="n">
        <v>42332</v>
      </c>
      <c r="B456" s="27" t="n">
        <v>3086.82</v>
      </c>
      <c r="C456" s="1" t="n">
        <v>42698</v>
      </c>
      <c r="D456" s="25" t="n">
        <v>3187.97</v>
      </c>
      <c r="E456" s="25" t="n"/>
      <c r="F456" s="25" t="n"/>
      <c r="G456" s="28">
        <f>D456-B456</f>
        <v/>
      </c>
      <c r="H456" s="10">
        <f>(D456/B456)-1</f>
        <v/>
      </c>
      <c r="I456" s="7" t="n"/>
      <c r="J456" s="1" t="n">
        <v>42822</v>
      </c>
      <c r="K456" s="25" t="n">
        <v>2913.48</v>
      </c>
      <c r="L456" s="1" t="n">
        <v>43187</v>
      </c>
      <c r="M456" s="25" t="n">
        <v>2780.04</v>
      </c>
      <c r="N456" s="26">
        <f>M456-K456</f>
        <v/>
      </c>
      <c r="O456" s="7">
        <f>(M456/K456)-1</f>
        <v/>
      </c>
      <c r="P456" s="4" t="n"/>
    </row>
    <row hidden="1" r="457" s="64" spans="1:23">
      <c r="A457" s="1" t="n">
        <v>42333</v>
      </c>
      <c r="B457" s="27" t="n">
        <v>3074.35</v>
      </c>
      <c r="C457" s="1" t="n">
        <v>42699</v>
      </c>
      <c r="D457" s="25" t="n">
        <v>3187.97</v>
      </c>
      <c r="E457" s="25" t="n"/>
      <c r="F457" s="25" t="n"/>
      <c r="G457" s="28">
        <f>D457-B457</f>
        <v/>
      </c>
      <c r="H457" s="10">
        <f>(D457/B457)-1</f>
        <v/>
      </c>
      <c r="I457" s="7" t="n"/>
      <c r="J457" s="1" t="n">
        <v>42822</v>
      </c>
      <c r="K457" s="25" t="n">
        <v>2913.48</v>
      </c>
      <c r="L457" s="1" t="n">
        <v>43187</v>
      </c>
      <c r="M457" s="25" t="n">
        <v>2780.04</v>
      </c>
      <c r="N457" s="26">
        <f>M457-K457</f>
        <v/>
      </c>
      <c r="O457" s="7">
        <f>(M457/K457)-1</f>
        <v/>
      </c>
      <c r="P457" s="4" t="n"/>
    </row>
    <row hidden="1" r="458" s="64" spans="1:23">
      <c r="A458" s="1" t="n">
        <v>42334</v>
      </c>
      <c r="B458" s="27" t="n">
        <v>3099.75</v>
      </c>
      <c r="C458" s="1" t="n">
        <v>42700</v>
      </c>
      <c r="D458" s="25" t="n">
        <v>3170.64</v>
      </c>
      <c r="E458" s="25" t="n"/>
      <c r="F458" s="25" t="n"/>
      <c r="G458" s="28">
        <f>D458-B458</f>
        <v/>
      </c>
      <c r="H458" s="10">
        <f>(D458/B458)-1</f>
        <v/>
      </c>
      <c r="I458" s="7" t="n"/>
      <c r="J458" s="1" t="n">
        <v>42822</v>
      </c>
      <c r="K458" s="25" t="n">
        <v>2913.48</v>
      </c>
      <c r="L458" s="1" t="n">
        <v>43187</v>
      </c>
      <c r="M458" s="25" t="n">
        <v>2780.04</v>
      </c>
      <c r="N458" s="26">
        <f>M458-K458</f>
        <v/>
      </c>
      <c r="O458" s="7">
        <f>(M458/K458)-1</f>
        <v/>
      </c>
      <c r="P458" s="4" t="n"/>
    </row>
    <row hidden="1" r="459" s="64" spans="1:23">
      <c r="A459" s="1" t="n">
        <v>42335</v>
      </c>
      <c r="B459" s="27" t="n">
        <v>3099.75</v>
      </c>
      <c r="C459" s="1" t="n">
        <v>42701</v>
      </c>
      <c r="D459" s="25" t="n">
        <v>3170.64</v>
      </c>
      <c r="E459" s="25" t="n"/>
      <c r="F459" s="25" t="n"/>
      <c r="G459" s="28">
        <f>D459-B459</f>
        <v/>
      </c>
      <c r="H459" s="10">
        <f>(D459/B459)-1</f>
        <v/>
      </c>
      <c r="I459" s="7" t="n"/>
      <c r="J459" s="1" t="n">
        <v>42822</v>
      </c>
      <c r="K459" s="25" t="n">
        <v>2913.48</v>
      </c>
      <c r="L459" s="1" t="n">
        <v>43187</v>
      </c>
      <c r="M459" s="25" t="n">
        <v>2780.04</v>
      </c>
      <c r="N459" s="26">
        <f>M459-K459</f>
        <v/>
      </c>
      <c r="O459" s="7">
        <f>(M459/K459)-1</f>
        <v/>
      </c>
      <c r="P459" s="4" t="n"/>
    </row>
    <row hidden="1" r="460" s="64" spans="1:23">
      <c r="A460" s="1" t="n">
        <v>42336</v>
      </c>
      <c r="B460" s="27" t="n">
        <v>3101.1</v>
      </c>
      <c r="C460" s="1" t="n">
        <v>42702</v>
      </c>
      <c r="D460" s="25" t="n">
        <v>3170.64</v>
      </c>
      <c r="E460" s="25" t="n"/>
      <c r="F460" s="25" t="n"/>
      <c r="G460" s="28">
        <f>D460-B460</f>
        <v/>
      </c>
      <c r="H460" s="10">
        <f>(D460/B460)-1</f>
        <v/>
      </c>
      <c r="I460" s="7" t="n"/>
      <c r="J460" s="1" t="n">
        <v>42822</v>
      </c>
      <c r="K460" s="25" t="n">
        <v>2913.48</v>
      </c>
      <c r="L460" s="1" t="n">
        <v>43187</v>
      </c>
      <c r="M460" s="25" t="n">
        <v>2780.04</v>
      </c>
      <c r="N460" s="26">
        <f>M460-K460</f>
        <v/>
      </c>
      <c r="O460" s="7">
        <f>(M460/K460)-1</f>
        <v/>
      </c>
      <c r="P460" s="4" t="n"/>
    </row>
    <row hidden="1" r="461" s="64" spans="1:23">
      <c r="A461" s="1" t="n">
        <v>42337</v>
      </c>
      <c r="B461" s="27" t="n">
        <v>3101.1</v>
      </c>
      <c r="C461" s="1" t="n">
        <v>42703</v>
      </c>
      <c r="D461" s="25" t="n">
        <v>3142.2</v>
      </c>
      <c r="E461" s="25" t="n"/>
      <c r="F461" s="25" t="n"/>
      <c r="G461" s="28">
        <f>D461-B461</f>
        <v/>
      </c>
      <c r="H461" s="10">
        <f>(D461/B461)-1</f>
        <v/>
      </c>
      <c r="I461" s="7" t="n"/>
      <c r="J461" s="1" t="n">
        <v>42822</v>
      </c>
      <c r="K461" s="25" t="n">
        <v>2913.48</v>
      </c>
      <c r="L461" s="1" t="n">
        <v>43187</v>
      </c>
      <c r="M461" s="25" t="n">
        <v>2780.04</v>
      </c>
      <c r="N461" s="26">
        <f>M461-K461</f>
        <v/>
      </c>
      <c r="O461" s="7">
        <f>(M461/K461)-1</f>
        <v/>
      </c>
      <c r="P461" s="4" t="n"/>
    </row>
    <row hidden="1" r="462" s="64" spans="1:23">
      <c r="A462" s="1" t="n">
        <v>42338</v>
      </c>
      <c r="B462" s="27" t="n">
        <v>3101.1</v>
      </c>
      <c r="C462" s="1" t="n">
        <v>42704</v>
      </c>
      <c r="D462" s="25" t="n">
        <v>3165.09</v>
      </c>
      <c r="E462" s="25" t="n"/>
      <c r="F462" s="25" t="n"/>
      <c r="G462" s="28">
        <f>D462-B462</f>
        <v/>
      </c>
      <c r="H462" s="10">
        <f>(D462/B462)-1</f>
        <v/>
      </c>
      <c r="I462" s="7" t="n"/>
      <c r="J462" s="1" t="n">
        <v>42822</v>
      </c>
      <c r="K462" s="25" t="n">
        <v>2913.48</v>
      </c>
      <c r="L462" s="1" t="n">
        <v>43187</v>
      </c>
      <c r="M462" s="25" t="n">
        <v>2780.04</v>
      </c>
      <c r="N462" s="26">
        <f>M462-K462</f>
        <v/>
      </c>
      <c r="O462" s="7">
        <f>(M462/K462)-1</f>
        <v/>
      </c>
      <c r="P462" s="4" t="n"/>
    </row>
    <row hidden="1" r="463" s="64" spans="1:23">
      <c r="A463" s="1" t="n">
        <v>42339</v>
      </c>
      <c r="B463" s="27" t="n">
        <v>3142.11</v>
      </c>
      <c r="C463" s="1" t="n">
        <v>42705</v>
      </c>
      <c r="D463" s="25" t="n">
        <v>3085.6</v>
      </c>
      <c r="E463" s="25" t="n"/>
      <c r="F463" s="25" t="n"/>
      <c r="G463" s="28">
        <f>D463-B463</f>
        <v/>
      </c>
      <c r="H463" s="10">
        <f>(D463/B463)-1</f>
        <v/>
      </c>
      <c r="I463" s="7" t="n"/>
      <c r="J463" s="1" t="n">
        <v>42822</v>
      </c>
      <c r="K463" s="25" t="n">
        <v>2913.48</v>
      </c>
      <c r="L463" s="1" t="n">
        <v>43187</v>
      </c>
      <c r="M463" s="25" t="n">
        <v>2780.04</v>
      </c>
      <c r="N463" s="26">
        <f>M463-K463</f>
        <v/>
      </c>
      <c r="O463" s="7">
        <f>(M463/K463)-1</f>
        <v/>
      </c>
      <c r="P463" s="4" t="n"/>
    </row>
    <row hidden="1" r="464" s="64" spans="1:23">
      <c r="A464" s="1" t="n">
        <v>42340</v>
      </c>
      <c r="B464" s="27" t="n">
        <v>3131.95</v>
      </c>
      <c r="C464" s="1" t="n">
        <v>42706</v>
      </c>
      <c r="D464" s="25" t="n">
        <v>3068.34</v>
      </c>
      <c r="E464" s="25" t="n"/>
      <c r="F464" s="25" t="n"/>
      <c r="G464" s="28">
        <f>D464-B464</f>
        <v/>
      </c>
      <c r="H464" s="10">
        <f>(D464/B464)-1</f>
        <v/>
      </c>
      <c r="I464" s="7" t="n"/>
      <c r="J464" s="1" t="n">
        <v>42822</v>
      </c>
      <c r="K464" s="25" t="n">
        <v>2913.48</v>
      </c>
      <c r="L464" s="1" t="n">
        <v>43187</v>
      </c>
      <c r="M464" s="25" t="n">
        <v>2780.04</v>
      </c>
      <c r="N464" s="26">
        <f>M464-K464</f>
        <v/>
      </c>
      <c r="O464" s="7">
        <f>(M464/K464)-1</f>
        <v/>
      </c>
      <c r="P464" s="4" t="n"/>
    </row>
    <row hidden="1" r="465" s="64" spans="1:23">
      <c r="A465" s="1" t="n">
        <v>42341</v>
      </c>
      <c r="B465" s="27" t="n">
        <v>3166.67</v>
      </c>
      <c r="C465" s="1" t="n">
        <v>42707</v>
      </c>
      <c r="D465" s="25" t="n">
        <v>3061.04</v>
      </c>
      <c r="E465" s="25" t="n"/>
      <c r="F465" s="25" t="n"/>
      <c r="G465" s="28">
        <f>D465-B465</f>
        <v/>
      </c>
      <c r="H465" s="10">
        <f>(D465/B465)-1</f>
        <v/>
      </c>
      <c r="I465" s="7" t="n"/>
      <c r="J465" s="1" t="n">
        <v>42822</v>
      </c>
      <c r="K465" s="25" t="n">
        <v>2913.48</v>
      </c>
      <c r="L465" s="1" t="n">
        <v>43187</v>
      </c>
      <c r="M465" s="25" t="n">
        <v>2780.04</v>
      </c>
      <c r="N465" s="26">
        <f>M465-K465</f>
        <v/>
      </c>
      <c r="O465" s="7">
        <f>(M465/K465)-1</f>
        <v/>
      </c>
      <c r="P465" s="4" t="n"/>
    </row>
    <row hidden="1" r="466" s="64" spans="1:23">
      <c r="A466" s="1" t="n">
        <v>42342</v>
      </c>
      <c r="B466" s="27" t="n">
        <v>3149.12</v>
      </c>
      <c r="C466" s="1" t="n">
        <v>42708</v>
      </c>
      <c r="D466" s="25" t="n">
        <v>3061.04</v>
      </c>
      <c r="E466" s="25" t="n"/>
      <c r="F466" s="25" t="n"/>
      <c r="G466" s="28">
        <f>D466-B466</f>
        <v/>
      </c>
      <c r="H466" s="10">
        <f>(D466/B466)-1</f>
        <v/>
      </c>
      <c r="I466" s="7" t="n"/>
      <c r="J466" s="1" t="n">
        <v>42822</v>
      </c>
      <c r="K466" s="25" t="n">
        <v>2913.48</v>
      </c>
      <c r="L466" s="1" t="n">
        <v>43187</v>
      </c>
      <c r="M466" s="25" t="n">
        <v>2780.04</v>
      </c>
      <c r="N466" s="26">
        <f>M466-K466</f>
        <v/>
      </c>
      <c r="O466" s="7">
        <f>(M466/K466)-1</f>
        <v/>
      </c>
      <c r="P466" s="4" t="n"/>
    </row>
    <row hidden="1" r="467" s="64" spans="1:23">
      <c r="A467" s="1" t="n">
        <v>42343</v>
      </c>
      <c r="B467" s="27" t="n">
        <v>3179.22</v>
      </c>
      <c r="C467" s="1" t="n">
        <v>42709</v>
      </c>
      <c r="D467" s="25" t="n">
        <v>3061.04</v>
      </c>
      <c r="E467" s="25" t="n"/>
      <c r="F467" s="25" t="n"/>
      <c r="G467" s="28">
        <f>D467-B467</f>
        <v/>
      </c>
      <c r="H467" s="10">
        <f>(D467/B467)-1</f>
        <v/>
      </c>
      <c r="I467" s="7" t="n"/>
      <c r="J467" s="1" t="n">
        <v>42822</v>
      </c>
      <c r="K467" s="25" t="n">
        <v>2913.48</v>
      </c>
      <c r="L467" s="1" t="n">
        <v>43187</v>
      </c>
      <c r="M467" s="25" t="n">
        <v>2780.04</v>
      </c>
      <c r="N467" s="26">
        <f>M467-K467</f>
        <v/>
      </c>
      <c r="O467" s="7">
        <f>(M467/K467)-1</f>
        <v/>
      </c>
      <c r="P467" s="4" t="n"/>
    </row>
    <row hidden="1" r="468" s="64" spans="1:23">
      <c r="A468" s="1" t="n">
        <v>42344</v>
      </c>
      <c r="B468" s="27" t="n">
        <v>3179.22</v>
      </c>
      <c r="C468" s="1" t="n">
        <v>42710</v>
      </c>
      <c r="D468" s="25" t="n">
        <v>3049.47</v>
      </c>
      <c r="E468" s="25" t="n"/>
      <c r="F468" s="25" t="n"/>
      <c r="G468" s="28">
        <f>D468-B468</f>
        <v/>
      </c>
      <c r="H468" s="10">
        <f>(D468/B468)-1</f>
        <v/>
      </c>
      <c r="I468" s="7" t="n"/>
      <c r="J468" s="1" t="n">
        <v>42822</v>
      </c>
      <c r="K468" s="25" t="n">
        <v>2913.48</v>
      </c>
      <c r="L468" s="1" t="n">
        <v>43187</v>
      </c>
      <c r="M468" s="25" t="n">
        <v>2780.04</v>
      </c>
      <c r="N468" s="26">
        <f>M468-K468</f>
        <v/>
      </c>
      <c r="O468" s="7">
        <f>(M468/K468)-1</f>
        <v/>
      </c>
      <c r="P468" s="4" t="n"/>
    </row>
    <row hidden="1" r="469" s="64" spans="1:23">
      <c r="A469" s="1" t="n">
        <v>42345</v>
      </c>
      <c r="B469" s="27" t="n">
        <v>3179.22</v>
      </c>
      <c r="C469" s="1" t="n">
        <v>42711</v>
      </c>
      <c r="D469" s="25" t="n">
        <v>2989.71</v>
      </c>
      <c r="E469" s="25" t="n"/>
      <c r="F469" s="25" t="n"/>
      <c r="G469" s="28">
        <f>D469-B469</f>
        <v/>
      </c>
      <c r="H469" s="10">
        <f>(D469/B469)-1</f>
        <v/>
      </c>
      <c r="I469" s="7" t="n"/>
      <c r="J469" s="1" t="n">
        <v>42822</v>
      </c>
      <c r="K469" s="25" t="n">
        <v>2913.48</v>
      </c>
      <c r="L469" s="1" t="n">
        <v>43187</v>
      </c>
      <c r="M469" s="25" t="n">
        <v>2780.04</v>
      </c>
      <c r="N469" s="26">
        <f>M469-K469</f>
        <v/>
      </c>
      <c r="O469" s="7">
        <f>(M469/K469)-1</f>
        <v/>
      </c>
      <c r="P469" s="4" t="n"/>
    </row>
    <row hidden="1" r="470" s="64" spans="1:23">
      <c r="A470" s="1" t="n">
        <v>42346</v>
      </c>
      <c r="B470" s="27" t="n">
        <v>3287.03</v>
      </c>
      <c r="C470" s="1" t="n">
        <v>42712</v>
      </c>
      <c r="D470" s="25" t="n">
        <v>2989.71</v>
      </c>
      <c r="E470" s="25" t="n"/>
      <c r="F470" s="25" t="n"/>
      <c r="G470" s="28">
        <f>D470-B470</f>
        <v/>
      </c>
      <c r="H470" s="10">
        <f>(D470/B470)-1</f>
        <v/>
      </c>
      <c r="I470" s="7" t="n"/>
      <c r="J470" s="1" t="n">
        <v>42822</v>
      </c>
      <c r="K470" s="25" t="n">
        <v>2913.48</v>
      </c>
      <c r="L470" s="1" t="n">
        <v>43187</v>
      </c>
      <c r="M470" s="25" t="n">
        <v>2780.04</v>
      </c>
      <c r="N470" s="26">
        <f>M470-K470</f>
        <v/>
      </c>
      <c r="O470" s="7">
        <f>(M470/K470)-1</f>
        <v/>
      </c>
      <c r="P470" s="4" t="n"/>
    </row>
    <row hidden="1" r="471" s="64" spans="1:23">
      <c r="A471" s="1" t="n">
        <v>42347</v>
      </c>
      <c r="B471" s="27" t="n">
        <v>3287.03</v>
      </c>
      <c r="C471" s="1" t="n">
        <v>42713</v>
      </c>
      <c r="D471" s="25" t="n">
        <v>2989.71</v>
      </c>
      <c r="E471" s="25" t="n"/>
      <c r="F471" s="25" t="n"/>
      <c r="G471" s="28">
        <f>D471-B471</f>
        <v/>
      </c>
      <c r="H471" s="10">
        <f>(D471/B471)-1</f>
        <v/>
      </c>
      <c r="I471" s="7" t="n"/>
      <c r="J471" s="1" t="n">
        <v>42822</v>
      </c>
      <c r="K471" s="25" t="n">
        <v>2913.48</v>
      </c>
      <c r="L471" s="1" t="n">
        <v>43187</v>
      </c>
      <c r="M471" s="25" t="n">
        <v>2780.04</v>
      </c>
      <c r="N471" s="26">
        <f>M471-K471</f>
        <v/>
      </c>
      <c r="O471" s="7">
        <f>(M471/K471)-1</f>
        <v/>
      </c>
      <c r="P471" s="4" t="n"/>
    </row>
    <row hidden="1" r="472" s="64" spans="1:23">
      <c r="A472" s="1" t="n">
        <v>42348</v>
      </c>
      <c r="B472" s="27" t="n">
        <v>3294.02</v>
      </c>
      <c r="C472" s="1" t="n">
        <v>42714</v>
      </c>
      <c r="D472" s="25" t="n">
        <v>3002.8</v>
      </c>
      <c r="E472" s="25" t="n"/>
      <c r="F472" s="25" t="n"/>
      <c r="G472" s="28">
        <f>D472-B472</f>
        <v/>
      </c>
      <c r="H472" s="10">
        <f>(D472/B472)-1</f>
        <v/>
      </c>
      <c r="I472" s="7" t="n"/>
      <c r="J472" s="1" t="n">
        <v>42822</v>
      </c>
      <c r="K472" s="25" t="n">
        <v>2913.48</v>
      </c>
      <c r="L472" s="1" t="n">
        <v>43187</v>
      </c>
      <c r="M472" s="25" t="n">
        <v>2780.04</v>
      </c>
      <c r="N472" s="26">
        <f>M472-K472</f>
        <v/>
      </c>
      <c r="O472" s="7">
        <f>(M472/K472)-1</f>
        <v/>
      </c>
      <c r="P472" s="4" t="n"/>
    </row>
    <row hidden="1" r="473" s="64" spans="1:23">
      <c r="A473" s="1" t="n">
        <v>42349</v>
      </c>
      <c r="B473" s="27" t="n">
        <v>3259.56</v>
      </c>
      <c r="C473" s="1" t="n">
        <v>42715</v>
      </c>
      <c r="D473" s="25" t="n">
        <v>3002.8</v>
      </c>
      <c r="E473" s="25" t="n"/>
      <c r="F473" s="25" t="n"/>
      <c r="G473" s="28">
        <f>D473-B473</f>
        <v/>
      </c>
      <c r="H473" s="10">
        <f>(D473/B473)-1</f>
        <v/>
      </c>
      <c r="I473" s="7" t="n"/>
      <c r="J473" s="1" t="n">
        <v>42822</v>
      </c>
      <c r="K473" s="25" t="n">
        <v>2913.48</v>
      </c>
      <c r="L473" s="1" t="n">
        <v>43187</v>
      </c>
      <c r="M473" s="25" t="n">
        <v>2780.04</v>
      </c>
      <c r="N473" s="26">
        <f>M473-K473</f>
        <v/>
      </c>
      <c r="O473" s="7">
        <f>(M473/K473)-1</f>
        <v/>
      </c>
      <c r="P473" s="4" t="n"/>
    </row>
    <row hidden="1" r="474" s="64" spans="1:23">
      <c r="A474" s="1" t="n">
        <v>42350</v>
      </c>
      <c r="B474" s="27" t="n">
        <v>3299.36</v>
      </c>
      <c r="C474" s="1" t="n">
        <v>42716</v>
      </c>
      <c r="D474" s="25" t="n">
        <v>3002.8</v>
      </c>
      <c r="E474" s="25" t="n"/>
      <c r="F474" s="25" t="n"/>
      <c r="G474" s="28">
        <f>D474-B474</f>
        <v/>
      </c>
      <c r="H474" s="10">
        <f>(D474/B474)-1</f>
        <v/>
      </c>
      <c r="I474" s="7" t="n"/>
      <c r="J474" s="1" t="n">
        <v>42822</v>
      </c>
      <c r="K474" s="25" t="n">
        <v>2913.48</v>
      </c>
      <c r="L474" s="1" t="n">
        <v>43187</v>
      </c>
      <c r="M474" s="25" t="n">
        <v>2780.04</v>
      </c>
      <c r="N474" s="26">
        <f>M474-K474</f>
        <v/>
      </c>
      <c r="O474" s="7">
        <f>(M474/K474)-1</f>
        <v/>
      </c>
      <c r="P474" s="4" t="n"/>
    </row>
    <row hidden="1" r="475" s="64" spans="1:23">
      <c r="A475" s="1" t="n">
        <v>42351</v>
      </c>
      <c r="B475" s="27" t="n">
        <v>3299.36</v>
      </c>
      <c r="C475" s="1" t="n">
        <v>42717</v>
      </c>
      <c r="D475" s="25" t="n">
        <v>2984.02</v>
      </c>
      <c r="E475" s="25" t="n"/>
      <c r="F475" s="25" t="n"/>
      <c r="G475" s="28">
        <f>D475-B475</f>
        <v/>
      </c>
      <c r="H475" s="10">
        <f>(D475/B475)-1</f>
        <v/>
      </c>
      <c r="I475" s="7" t="n"/>
      <c r="J475" s="1" t="n">
        <v>42822</v>
      </c>
      <c r="K475" s="25" t="n">
        <v>2913.48</v>
      </c>
      <c r="L475" s="1" t="n">
        <v>43187</v>
      </c>
      <c r="M475" s="25" t="n">
        <v>2780.04</v>
      </c>
      <c r="N475" s="26">
        <f>M475-K475</f>
        <v/>
      </c>
      <c r="O475" s="7">
        <f>(M475/K475)-1</f>
        <v/>
      </c>
      <c r="P475" s="4" t="n"/>
    </row>
    <row hidden="1" r="476" s="64" spans="1:23">
      <c r="A476" s="1" t="n">
        <v>42352</v>
      </c>
      <c r="B476" s="27" t="n">
        <v>3299.36</v>
      </c>
      <c r="C476" s="1" t="n">
        <v>42718</v>
      </c>
      <c r="D476" s="25" t="n">
        <v>2982.29</v>
      </c>
      <c r="E476" s="25" t="n"/>
      <c r="F476" s="25" t="n"/>
      <c r="G476" s="28">
        <f>D476-B476</f>
        <v/>
      </c>
      <c r="H476" s="10">
        <f>(D476/B476)-1</f>
        <v/>
      </c>
      <c r="I476" s="7" t="n"/>
      <c r="J476" s="1" t="n">
        <v>42822</v>
      </c>
      <c r="K476" s="25" t="n">
        <v>2913.48</v>
      </c>
      <c r="L476" s="1" t="n">
        <v>43187</v>
      </c>
      <c r="M476" s="25" t="n">
        <v>2780.04</v>
      </c>
      <c r="N476" s="26">
        <f>M476-K476</f>
        <v/>
      </c>
      <c r="O476" s="7">
        <f>(M476/K476)-1</f>
        <v/>
      </c>
      <c r="P476" s="4" t="n"/>
    </row>
    <row hidden="1" r="477" s="64" spans="1:23">
      <c r="A477" s="1" t="n">
        <v>42353</v>
      </c>
      <c r="B477" s="27" t="n">
        <v>3356</v>
      </c>
      <c r="C477" s="1" t="n">
        <v>42719</v>
      </c>
      <c r="D477" s="25" t="n">
        <v>2964.56</v>
      </c>
      <c r="E477" s="25" t="n"/>
      <c r="F477" s="25" t="n"/>
      <c r="G477" s="28">
        <f>D477-B477</f>
        <v/>
      </c>
      <c r="H477" s="10">
        <f>(D477/B477)-1</f>
        <v/>
      </c>
      <c r="I477" s="7" t="n"/>
      <c r="J477" s="1" t="n">
        <v>42822</v>
      </c>
      <c r="K477" s="25" t="n">
        <v>2913.48</v>
      </c>
      <c r="L477" s="1" t="n">
        <v>43187</v>
      </c>
      <c r="M477" s="25" t="n">
        <v>2780.04</v>
      </c>
      <c r="N477" s="26">
        <f>M477-K477</f>
        <v/>
      </c>
      <c r="O477" s="7">
        <f>(M477/K477)-1</f>
        <v/>
      </c>
      <c r="P477" s="4" t="n"/>
    </row>
    <row hidden="1" r="478" s="64" spans="1:23">
      <c r="A478" s="1" t="n">
        <v>42354</v>
      </c>
      <c r="B478" s="27" t="n">
        <v>3328.08</v>
      </c>
      <c r="C478" s="1" t="n">
        <v>42720</v>
      </c>
      <c r="D478" s="25" t="n">
        <v>3000.47</v>
      </c>
      <c r="E478" s="25" t="n"/>
      <c r="F478" s="25" t="n"/>
      <c r="G478" s="28">
        <f>D478-B478</f>
        <v/>
      </c>
      <c r="H478" s="10">
        <f>(D478/B478)-1</f>
        <v/>
      </c>
      <c r="I478" s="7" t="n"/>
      <c r="J478" s="1" t="n">
        <v>42822</v>
      </c>
      <c r="K478" s="25" t="n">
        <v>2913.48</v>
      </c>
      <c r="L478" s="1" t="n">
        <v>43187</v>
      </c>
      <c r="M478" s="25" t="n">
        <v>2780.04</v>
      </c>
      <c r="N478" s="26">
        <f>M478-K478</f>
        <v/>
      </c>
      <c r="O478" s="7">
        <f>(M478/K478)-1</f>
        <v/>
      </c>
      <c r="P478" s="4" t="n"/>
    </row>
    <row hidden="1" r="479" s="64" spans="1:23">
      <c r="A479" s="1" t="n">
        <v>42355</v>
      </c>
      <c r="B479" s="27" t="n">
        <v>3317.72</v>
      </c>
      <c r="C479" s="1" t="n">
        <v>42721</v>
      </c>
      <c r="D479" s="25" t="n">
        <v>2997.2</v>
      </c>
      <c r="E479" s="25" t="n"/>
      <c r="F479" s="25" t="n"/>
      <c r="G479" s="28">
        <f>D479-B479</f>
        <v/>
      </c>
      <c r="H479" s="10">
        <f>(D479/B479)-1</f>
        <v/>
      </c>
      <c r="I479" s="7" t="n"/>
      <c r="J479" s="1" t="n">
        <v>42822</v>
      </c>
      <c r="K479" s="25" t="n">
        <v>2913.48</v>
      </c>
      <c r="L479" s="1" t="n">
        <v>43187</v>
      </c>
      <c r="M479" s="25" t="n">
        <v>2780.04</v>
      </c>
      <c r="N479" s="26">
        <f>M479-K479</f>
        <v/>
      </c>
      <c r="O479" s="7">
        <f>(M479/K479)-1</f>
        <v/>
      </c>
      <c r="P479" s="4" t="n"/>
    </row>
    <row hidden="1" r="480" s="64" spans="1:23">
      <c r="A480" s="1" t="n">
        <v>42356</v>
      </c>
      <c r="B480" s="27" t="n">
        <v>3333.37</v>
      </c>
      <c r="C480" s="1" t="n">
        <v>42722</v>
      </c>
      <c r="D480" s="25" t="n">
        <v>2997.2</v>
      </c>
      <c r="E480" s="25" t="n"/>
      <c r="F480" s="25" t="n"/>
      <c r="G480" s="28">
        <f>D480-B480</f>
        <v/>
      </c>
      <c r="H480" s="10">
        <f>(D480/B480)-1</f>
        <v/>
      </c>
      <c r="I480" s="7" t="n"/>
      <c r="J480" s="1" t="n">
        <v>42822</v>
      </c>
      <c r="K480" s="25" t="n">
        <v>2913.48</v>
      </c>
      <c r="L480" s="1" t="n">
        <v>43187</v>
      </c>
      <c r="M480" s="25" t="n">
        <v>2780.04</v>
      </c>
      <c r="N480" s="26">
        <f>M480-K480</f>
        <v/>
      </c>
      <c r="O480" s="7">
        <f>(M480/K480)-1</f>
        <v/>
      </c>
      <c r="P480" s="4" t="n"/>
    </row>
    <row hidden="1" r="481" s="64" spans="1:23">
      <c r="A481" s="1" t="n">
        <v>42357</v>
      </c>
      <c r="B481" s="27" t="n">
        <v>3337.68</v>
      </c>
      <c r="C481" s="1" t="n">
        <v>42723</v>
      </c>
      <c r="D481" s="25" t="n">
        <v>2997.2</v>
      </c>
      <c r="E481" s="25" t="n"/>
      <c r="F481" s="25" t="n"/>
      <c r="G481" s="28">
        <f>D481-B481</f>
        <v/>
      </c>
      <c r="H481" s="10">
        <f>(D481/B481)-1</f>
        <v/>
      </c>
      <c r="I481" s="7" t="n"/>
      <c r="J481" s="1" t="n">
        <v>42822</v>
      </c>
      <c r="K481" s="25" t="n">
        <v>2913.48</v>
      </c>
      <c r="L481" s="1" t="n">
        <v>43187</v>
      </c>
      <c r="M481" s="25" t="n">
        <v>2780.04</v>
      </c>
      <c r="N481" s="26">
        <f>M481-K481</f>
        <v/>
      </c>
      <c r="O481" s="7">
        <f>(M481/K481)-1</f>
        <v/>
      </c>
      <c r="P481" s="4" t="n"/>
    </row>
    <row hidden="1" r="482" s="64" spans="1:23">
      <c r="A482" s="1" t="n">
        <v>42358</v>
      </c>
      <c r="B482" s="27" t="n">
        <v>3337.68</v>
      </c>
      <c r="C482" s="1" t="n">
        <v>42724</v>
      </c>
      <c r="D482" s="25" t="n">
        <v>3019.44</v>
      </c>
      <c r="E482" s="25" t="n"/>
      <c r="F482" s="25" t="n"/>
      <c r="G482" s="28">
        <f>D482-B482</f>
        <v/>
      </c>
      <c r="H482" s="10">
        <f>(D482/B482)-1</f>
        <v/>
      </c>
      <c r="I482" s="7" t="n"/>
      <c r="J482" s="1" t="n">
        <v>42822</v>
      </c>
      <c r="K482" s="25" t="n">
        <v>2913.48</v>
      </c>
      <c r="L482" s="1" t="n">
        <v>43187</v>
      </c>
      <c r="M482" s="25" t="n">
        <v>2780.04</v>
      </c>
      <c r="N482" s="26">
        <f>M482-K482</f>
        <v/>
      </c>
      <c r="O482" s="7">
        <f>(M482/K482)-1</f>
        <v/>
      </c>
      <c r="P482" s="4" t="n"/>
    </row>
    <row hidden="1" r="483" s="64" spans="1:23">
      <c r="A483" s="1" t="n">
        <v>42359</v>
      </c>
      <c r="B483" s="27" t="n">
        <v>3337.68</v>
      </c>
      <c r="C483" s="1" t="n">
        <v>42725</v>
      </c>
      <c r="D483" s="25" t="n">
        <v>2988.06</v>
      </c>
      <c r="E483" s="25" t="n"/>
      <c r="F483" s="25" t="n"/>
      <c r="G483" s="28">
        <f>D483-B483</f>
        <v/>
      </c>
      <c r="H483" s="10">
        <f>(D483/B483)-1</f>
        <v/>
      </c>
      <c r="I483" s="7" t="n"/>
      <c r="J483" s="1" t="n">
        <v>42822</v>
      </c>
      <c r="K483" s="25" t="n">
        <v>2913.48</v>
      </c>
      <c r="L483" s="1" t="n">
        <v>43187</v>
      </c>
      <c r="M483" s="25" t="n">
        <v>2780.04</v>
      </c>
      <c r="N483" s="26">
        <f>M483-K483</f>
        <v/>
      </c>
      <c r="O483" s="7">
        <f>(M483/K483)-1</f>
        <v/>
      </c>
      <c r="P483" s="4" t="n"/>
    </row>
    <row hidden="1" r="484" s="64" spans="1:23">
      <c r="A484" s="1" t="n">
        <v>42360</v>
      </c>
      <c r="B484" s="27" t="n">
        <v>3332.7</v>
      </c>
      <c r="C484" s="1" t="n">
        <v>42726</v>
      </c>
      <c r="D484" s="25" t="n">
        <v>2989.14</v>
      </c>
      <c r="E484" s="25" t="n"/>
      <c r="F484" s="25" t="n"/>
      <c r="G484" s="28">
        <f>D484-B484</f>
        <v/>
      </c>
      <c r="H484" s="10">
        <f>(D484/B484)-1</f>
        <v/>
      </c>
      <c r="I484" s="7" t="n"/>
      <c r="J484" s="1" t="n">
        <v>42822</v>
      </c>
      <c r="K484" s="25" t="n">
        <v>2913.48</v>
      </c>
      <c r="L484" s="1" t="n">
        <v>43187</v>
      </c>
      <c r="M484" s="25" t="n">
        <v>2780.04</v>
      </c>
      <c r="N484" s="26">
        <f>M484-K484</f>
        <v/>
      </c>
      <c r="O484" s="7">
        <f>(M484/K484)-1</f>
        <v/>
      </c>
      <c r="P484" s="4" t="n"/>
    </row>
    <row hidden="1" r="485" s="64" spans="1:23">
      <c r="A485" s="1" t="n">
        <v>42361</v>
      </c>
      <c r="B485" s="27" t="n">
        <v>3307.24</v>
      </c>
      <c r="C485" s="1" t="n">
        <v>42727</v>
      </c>
      <c r="D485" s="25" t="n">
        <v>2996.03</v>
      </c>
      <c r="E485" s="25" t="n"/>
      <c r="F485" s="25" t="n"/>
      <c r="G485" s="28">
        <f>D485-B485</f>
        <v/>
      </c>
      <c r="H485" s="10">
        <f>(D485/B485)-1</f>
        <v/>
      </c>
      <c r="I485" s="7" t="n"/>
      <c r="J485" s="1" t="n">
        <v>42822</v>
      </c>
      <c r="K485" s="25" t="n">
        <v>2913.48</v>
      </c>
      <c r="L485" s="1" t="n">
        <v>43187</v>
      </c>
      <c r="M485" s="25" t="n">
        <v>2780.04</v>
      </c>
      <c r="N485" s="26">
        <f>M485-K485</f>
        <v/>
      </c>
      <c r="O485" s="7">
        <f>(M485/K485)-1</f>
        <v/>
      </c>
      <c r="P485" s="4" t="n"/>
    </row>
    <row hidden="1" r="486" s="64" spans="1:23">
      <c r="A486" s="1" t="n">
        <v>42362</v>
      </c>
      <c r="B486" s="30" t="n">
        <v>3255.19</v>
      </c>
      <c r="C486" s="1" t="n">
        <v>42728</v>
      </c>
      <c r="D486" s="25" t="n">
        <v>2996.6</v>
      </c>
      <c r="E486" s="25" t="n"/>
      <c r="F486" s="25" t="n"/>
      <c r="G486" s="28">
        <f>D486-B486</f>
        <v/>
      </c>
      <c r="H486" s="10">
        <f>(D486/B486)-1</f>
        <v/>
      </c>
      <c r="I486" s="7" t="n"/>
      <c r="J486" s="1" t="n">
        <v>42822</v>
      </c>
      <c r="K486" s="25" t="n">
        <v>2913.48</v>
      </c>
      <c r="L486" s="1" t="n">
        <v>43187</v>
      </c>
      <c r="M486" s="25" t="n">
        <v>2780.04</v>
      </c>
      <c r="N486" s="26">
        <f>M486-K486</f>
        <v/>
      </c>
      <c r="O486" s="7">
        <f>(M486/K486)-1</f>
        <v/>
      </c>
      <c r="P486" s="4" t="n"/>
    </row>
    <row hidden="1" r="487" s="64" spans="1:23">
      <c r="A487" s="1" t="n">
        <v>42363</v>
      </c>
      <c r="B487" s="30" t="n">
        <v>3172.03</v>
      </c>
      <c r="C487" s="1" t="n">
        <v>42729</v>
      </c>
      <c r="D487" s="25" t="n">
        <v>2996.6</v>
      </c>
      <c r="E487" s="25" t="n"/>
      <c r="F487" s="25" t="n"/>
      <c r="G487" s="28">
        <f>D487-B487</f>
        <v/>
      </c>
      <c r="H487" s="10">
        <f>(D487/B487)-1</f>
        <v/>
      </c>
      <c r="I487" s="7" t="n"/>
      <c r="J487" s="1" t="n">
        <v>42822</v>
      </c>
      <c r="K487" s="25" t="n">
        <v>2913.48</v>
      </c>
      <c r="L487" s="1" t="n">
        <v>43187</v>
      </c>
      <c r="M487" s="25" t="n">
        <v>2780.04</v>
      </c>
      <c r="N487" s="26">
        <f>M487-K487</f>
        <v/>
      </c>
      <c r="O487" s="7">
        <f>(M487/K487)-1</f>
        <v/>
      </c>
      <c r="P487" s="4" t="n"/>
    </row>
    <row hidden="1" r="488" s="64" spans="1:23">
      <c r="A488" s="1" t="n">
        <v>42364</v>
      </c>
      <c r="B488" s="30" t="n">
        <v>3172.03</v>
      </c>
      <c r="C488" s="1" t="n">
        <v>42730</v>
      </c>
      <c r="D488" s="25" t="n">
        <v>2996.6</v>
      </c>
      <c r="E488" s="25" t="n"/>
      <c r="F488" s="25" t="n"/>
      <c r="G488" s="28">
        <f>D488-B488</f>
        <v/>
      </c>
      <c r="H488" s="10">
        <f>(D488/B488)-1</f>
        <v/>
      </c>
      <c r="I488" s="7" t="n"/>
      <c r="J488" s="1" t="n">
        <v>42822</v>
      </c>
      <c r="K488" s="25" t="n">
        <v>2913.48</v>
      </c>
      <c r="L488" s="1" t="n">
        <v>43187</v>
      </c>
      <c r="M488" s="25" t="n">
        <v>2780.04</v>
      </c>
      <c r="N488" s="26">
        <f>M488-K488</f>
        <v/>
      </c>
      <c r="O488" s="7">
        <f>(M488/K488)-1</f>
        <v/>
      </c>
      <c r="P488" s="4" t="n"/>
    </row>
    <row hidden="1" r="489" s="64" spans="1:23">
      <c r="A489" s="1" t="n">
        <v>42365</v>
      </c>
      <c r="B489" s="30" t="n">
        <v>3172.03</v>
      </c>
      <c r="C489" s="1" t="n">
        <v>42731</v>
      </c>
      <c r="D489" s="25" t="n">
        <v>2996.6</v>
      </c>
      <c r="E489" s="25" t="n"/>
      <c r="F489" s="25" t="n"/>
      <c r="G489" s="28">
        <f>D489-B489</f>
        <v/>
      </c>
      <c r="H489" s="10">
        <f>(D489/B489)-1</f>
        <v/>
      </c>
      <c r="I489" s="7" t="n"/>
      <c r="J489" s="1" t="n">
        <v>42822</v>
      </c>
      <c r="K489" s="25" t="n">
        <v>2913.48</v>
      </c>
      <c r="L489" s="1" t="n">
        <v>43187</v>
      </c>
      <c r="M489" s="25" t="n">
        <v>2780.04</v>
      </c>
      <c r="N489" s="26">
        <f>M489-K489</f>
        <v/>
      </c>
      <c r="O489" s="7">
        <f>(M489/K489)-1</f>
        <v/>
      </c>
      <c r="P489" s="4" t="n"/>
    </row>
    <row hidden="1" r="490" s="64" spans="1:23">
      <c r="A490" s="1" t="n">
        <v>42366</v>
      </c>
      <c r="B490" s="30" t="n">
        <v>3172.03</v>
      </c>
      <c r="C490" s="1" t="n">
        <v>42732</v>
      </c>
      <c r="D490" s="25" t="n">
        <v>2992.81</v>
      </c>
      <c r="E490" s="25" t="n"/>
      <c r="F490" s="25" t="n"/>
      <c r="G490" s="28">
        <f>D490-B490</f>
        <v/>
      </c>
      <c r="H490" s="10">
        <f>(D490/B490)-1</f>
        <v/>
      </c>
      <c r="I490" s="7" t="n"/>
      <c r="J490" s="1" t="n">
        <v>42822</v>
      </c>
      <c r="K490" s="25" t="n">
        <v>2913.48</v>
      </c>
      <c r="L490" s="1" t="n">
        <v>43187</v>
      </c>
      <c r="M490" s="25" t="n">
        <v>2780.04</v>
      </c>
      <c r="N490" s="26">
        <f>M490-K490</f>
        <v/>
      </c>
      <c r="O490" s="7">
        <f>(M490/K490)-1</f>
        <v/>
      </c>
      <c r="P490" s="4" t="n"/>
    </row>
    <row hidden="1" r="491" s="64" spans="1:23">
      <c r="A491" s="1" t="n">
        <v>42367</v>
      </c>
      <c r="B491" s="27" t="n">
        <v>3180.87</v>
      </c>
      <c r="C491" s="1" t="n">
        <v>42733</v>
      </c>
      <c r="D491" s="25" t="n">
        <v>3019.72</v>
      </c>
      <c r="E491" s="25" t="n"/>
      <c r="F491" s="25" t="n"/>
      <c r="G491" s="28">
        <f>D491-B491</f>
        <v/>
      </c>
      <c r="H491" s="10">
        <f>(D491/B491)-1</f>
        <v/>
      </c>
      <c r="I491" s="7" t="n"/>
      <c r="J491" s="1" t="n">
        <v>42822</v>
      </c>
      <c r="K491" s="25" t="n">
        <v>2913.48</v>
      </c>
      <c r="L491" s="1" t="n">
        <v>43187</v>
      </c>
      <c r="M491" s="25" t="n">
        <v>2780.04</v>
      </c>
      <c r="N491" s="26">
        <f>M491-K491</f>
        <v/>
      </c>
      <c r="O491" s="7">
        <f>(M491/K491)-1</f>
        <v/>
      </c>
      <c r="P491" s="4" t="n"/>
    </row>
    <row hidden="1" r="492" s="64" spans="1:23">
      <c r="A492" s="1" t="n">
        <v>42368</v>
      </c>
      <c r="B492" s="27" t="n">
        <v>3155.22</v>
      </c>
      <c r="C492" s="1" t="n">
        <v>42734</v>
      </c>
      <c r="D492" s="25" t="n">
        <v>3000.71</v>
      </c>
      <c r="E492" s="25" t="n"/>
      <c r="F492" s="25" t="n"/>
      <c r="G492" s="28">
        <f>D492-B492</f>
        <v/>
      </c>
      <c r="H492" s="10">
        <f>(D492/B492)-1</f>
        <v/>
      </c>
      <c r="I492" s="7" t="n"/>
      <c r="J492" s="1" t="n">
        <v>42822</v>
      </c>
      <c r="K492" s="25" t="n">
        <v>2913.48</v>
      </c>
      <c r="L492" s="1" t="n">
        <v>43187</v>
      </c>
      <c r="M492" s="25" t="n">
        <v>2780.04</v>
      </c>
      <c r="N492" s="26">
        <f>M492-K492</f>
        <v/>
      </c>
      <c r="O492" s="7">
        <f>(M492/K492)-1</f>
        <v/>
      </c>
      <c r="P492" s="4" t="n"/>
    </row>
    <row hidden="1" r="493" s="64" spans="1:23">
      <c r="A493" s="1" t="n">
        <v>42369</v>
      </c>
      <c r="B493" s="27" t="n">
        <v>3149.47</v>
      </c>
      <c r="C493" s="1" t="n">
        <v>42735</v>
      </c>
      <c r="D493" s="25" t="n">
        <v>3000.71</v>
      </c>
      <c r="E493" s="25" t="n"/>
      <c r="F493" s="25" t="n"/>
      <c r="G493" s="28">
        <f>D493-B493</f>
        <v/>
      </c>
      <c r="H493" s="10">
        <f>(D493/B493)-1</f>
        <v/>
      </c>
      <c r="I493" s="7" t="n"/>
      <c r="J493" s="1" t="n">
        <v>42822</v>
      </c>
      <c r="K493" s="25" t="n">
        <v>2913.48</v>
      </c>
      <c r="L493" s="1" t="n">
        <v>43187</v>
      </c>
      <c r="M493" s="25" t="n">
        <v>2780.04</v>
      </c>
      <c r="N493" s="26">
        <f>M493-K493</f>
        <v/>
      </c>
      <c r="O493" s="7">
        <f>(M493/K493)-1</f>
        <v/>
      </c>
      <c r="P493" s="4" t="n"/>
    </row>
    <row hidden="1" r="494" s="64" spans="1:23">
      <c r="A494" s="1" t="n">
        <v>42370</v>
      </c>
      <c r="B494" s="25" t="n">
        <v>3149.47</v>
      </c>
      <c r="C494" s="1" t="n">
        <v>42736</v>
      </c>
      <c r="D494" s="25" t="n">
        <v>3000.71</v>
      </c>
      <c r="E494" s="25" t="n"/>
      <c r="F494" s="25" t="n"/>
      <c r="G494" s="28">
        <f>D494-B494</f>
        <v/>
      </c>
      <c r="H494" s="10">
        <f>(D494/B494)-1</f>
        <v/>
      </c>
      <c r="I494" s="7" t="n"/>
      <c r="J494" s="1" t="n">
        <v>42822</v>
      </c>
      <c r="K494" s="25" t="n">
        <v>2913.48</v>
      </c>
      <c r="L494" s="1" t="n">
        <v>43187</v>
      </c>
      <c r="M494" s="25" t="n">
        <v>2780.04</v>
      </c>
      <c r="N494" s="26">
        <f>M494-K494</f>
        <v/>
      </c>
      <c r="O494" s="7">
        <f>(M494/K494)-1</f>
        <v/>
      </c>
      <c r="P494" s="4" t="n"/>
    </row>
    <row hidden="1" r="495" s="64" spans="1:23">
      <c r="A495" s="1" t="n">
        <v>42371</v>
      </c>
      <c r="B495" s="25" t="n">
        <v>3149.47</v>
      </c>
      <c r="C495" s="1" t="n">
        <v>42737</v>
      </c>
      <c r="D495" s="25" t="n">
        <v>3000.71</v>
      </c>
      <c r="E495" s="25" t="n"/>
      <c r="F495" s="25" t="n"/>
      <c r="G495" s="28">
        <f>D495-B495</f>
        <v/>
      </c>
      <c r="H495" s="10">
        <f>(D495/B495)-1</f>
        <v/>
      </c>
      <c r="I495" s="7" t="n"/>
      <c r="J495" s="1" t="n">
        <v>42822</v>
      </c>
      <c r="K495" s="25" t="n">
        <v>2913.48</v>
      </c>
      <c r="L495" s="1" t="n">
        <v>43187</v>
      </c>
      <c r="M495" s="25" t="n">
        <v>2780.04</v>
      </c>
      <c r="N495" s="26">
        <f>M495-K495</f>
        <v/>
      </c>
      <c r="O495" s="7">
        <f>(M495/K495)-1</f>
        <v/>
      </c>
      <c r="P495" s="4" t="n"/>
    </row>
    <row hidden="1" r="496" s="64" spans="1:23">
      <c r="A496" s="1" t="n">
        <v>42372</v>
      </c>
      <c r="B496" s="25" t="n">
        <v>3149.47</v>
      </c>
      <c r="C496" s="1" t="n">
        <v>42738</v>
      </c>
      <c r="D496" s="25" t="n">
        <v>3000.71</v>
      </c>
      <c r="E496" s="25" t="n"/>
      <c r="F496" s="25" t="n"/>
      <c r="G496" s="28">
        <f>D496-B496</f>
        <v/>
      </c>
      <c r="H496" s="10">
        <f>(D496/B496)-1</f>
        <v/>
      </c>
      <c r="I496" s="7" t="n"/>
      <c r="J496" s="1" t="n">
        <v>42822</v>
      </c>
      <c r="K496" s="25" t="n">
        <v>2913.48</v>
      </c>
      <c r="L496" s="1" t="n">
        <v>43187</v>
      </c>
      <c r="M496" s="25" t="n">
        <v>2780.04</v>
      </c>
      <c r="N496" s="26">
        <f>M496-K496</f>
        <v/>
      </c>
      <c r="O496" s="7">
        <f>(M496/K496)-1</f>
        <v/>
      </c>
      <c r="P496" s="4" t="n"/>
    </row>
    <row hidden="1" r="497" s="64" spans="1:23">
      <c r="A497" s="1" t="n">
        <v>42373</v>
      </c>
      <c r="B497" s="25" t="n">
        <v>3149.47</v>
      </c>
      <c r="C497" s="1" t="n">
        <v>42739</v>
      </c>
      <c r="D497" s="25" t="n">
        <v>2981.06</v>
      </c>
      <c r="E497" s="25" t="n"/>
      <c r="F497" s="25" t="n"/>
      <c r="G497" s="28">
        <f>D497-B497</f>
        <v/>
      </c>
      <c r="H497" s="10">
        <f>(D497/B497)-1</f>
        <v/>
      </c>
      <c r="I497" s="7" t="n"/>
      <c r="J497" s="1" t="n">
        <v>42822</v>
      </c>
      <c r="K497" s="25" t="n">
        <v>2913.48</v>
      </c>
      <c r="L497" s="1" t="n">
        <v>43187</v>
      </c>
      <c r="M497" s="25" t="n">
        <v>2780.04</v>
      </c>
      <c r="N497" s="26">
        <f>M497-K497</f>
        <v/>
      </c>
      <c r="O497" s="7">
        <f>(M497/K497)-1</f>
        <v/>
      </c>
      <c r="P497" s="4" t="n"/>
    </row>
    <row hidden="1" r="498" s="64" spans="1:23">
      <c r="A498" s="1" t="n">
        <v>42374</v>
      </c>
      <c r="B498" s="25" t="n">
        <v>3213.24</v>
      </c>
      <c r="C498" s="1" t="n">
        <v>42740</v>
      </c>
      <c r="D498" s="25" t="n">
        <v>2965.36</v>
      </c>
      <c r="E498" s="25" t="n"/>
      <c r="F498" s="25" t="n"/>
      <c r="G498" s="28">
        <f>D498-B498</f>
        <v/>
      </c>
      <c r="H498" s="10">
        <f>(D498/B498)-1</f>
        <v/>
      </c>
      <c r="I498" s="7" t="n"/>
      <c r="J498" s="1" t="n">
        <v>42822</v>
      </c>
      <c r="K498" s="25" t="n">
        <v>2913.48</v>
      </c>
      <c r="L498" s="1" t="n">
        <v>43187</v>
      </c>
      <c r="M498" s="25" t="n">
        <v>2780.04</v>
      </c>
      <c r="N498" s="26">
        <f>M498-K498</f>
        <v/>
      </c>
      <c r="O498" s="7">
        <f>(M498/K498)-1</f>
        <v/>
      </c>
      <c r="P498" s="4" t="n"/>
    </row>
    <row hidden="1" r="499" s="64" spans="1:23">
      <c r="A499" s="1" t="n">
        <v>42375</v>
      </c>
      <c r="B499" s="25" t="n">
        <v>3203.86</v>
      </c>
      <c r="C499" s="1" t="n">
        <v>42741</v>
      </c>
      <c r="D499" s="25" t="n">
        <v>2941.08</v>
      </c>
      <c r="E499" s="25" t="n"/>
      <c r="F499" s="25" t="n"/>
      <c r="G499" s="28">
        <f>D499-B499</f>
        <v/>
      </c>
      <c r="H499" s="10">
        <f>(D499/B499)-1</f>
        <v/>
      </c>
      <c r="I499" s="7" t="n"/>
      <c r="J499" s="1" t="n">
        <v>42822</v>
      </c>
      <c r="K499" s="25" t="n">
        <v>2913.48</v>
      </c>
      <c r="L499" s="1" t="n">
        <v>43187</v>
      </c>
      <c r="M499" s="25" t="n">
        <v>2780.04</v>
      </c>
      <c r="N499" s="26">
        <f>M499-K499</f>
        <v/>
      </c>
      <c r="O499" s="7">
        <f>(M499/K499)-1</f>
        <v/>
      </c>
      <c r="P499" s="4" t="n"/>
    </row>
    <row hidden="1" r="500" s="64" spans="1:23">
      <c r="A500" s="1" t="n">
        <v>42376</v>
      </c>
      <c r="B500" s="25" t="n">
        <v>3250.69</v>
      </c>
      <c r="C500" s="1" t="n">
        <v>42742</v>
      </c>
      <c r="D500" s="25" t="n">
        <v>2919.01</v>
      </c>
      <c r="E500" s="25" t="n"/>
      <c r="F500" s="25" t="n"/>
      <c r="G500" s="28">
        <f>D500-B500</f>
        <v/>
      </c>
      <c r="H500" s="10">
        <f>(D500/B500)-1</f>
        <v/>
      </c>
      <c r="I500" s="7" t="n"/>
      <c r="J500" s="1" t="n">
        <v>42822</v>
      </c>
      <c r="K500" s="25" t="n">
        <v>2913.48</v>
      </c>
      <c r="L500" s="1" t="n">
        <v>43187</v>
      </c>
      <c r="M500" s="25" t="n">
        <v>2780.04</v>
      </c>
      <c r="N500" s="26">
        <f>M500-K500</f>
        <v/>
      </c>
      <c r="O500" s="7">
        <f>(M500/K500)-1</f>
        <v/>
      </c>
      <c r="P500" s="4" t="n"/>
    </row>
    <row hidden="1" r="501" s="64" spans="1:23">
      <c r="A501" s="1" t="n">
        <v>42377</v>
      </c>
      <c r="B501" s="25" t="n">
        <v>3287.28</v>
      </c>
      <c r="C501" s="1" t="n">
        <v>42743</v>
      </c>
      <c r="D501" s="25" t="n">
        <v>2919.01</v>
      </c>
      <c r="E501" s="25" t="n"/>
      <c r="F501" s="25" t="n"/>
      <c r="G501" s="28">
        <f>D501-B501</f>
        <v/>
      </c>
      <c r="H501" s="10">
        <f>(D501/B501)-1</f>
        <v/>
      </c>
      <c r="I501" s="7" t="n"/>
      <c r="J501" s="1" t="n">
        <v>42822</v>
      </c>
      <c r="K501" s="25" t="n">
        <v>2913.48</v>
      </c>
      <c r="L501" s="1" t="n">
        <v>43187</v>
      </c>
      <c r="M501" s="25" t="n">
        <v>2780.04</v>
      </c>
      <c r="N501" s="26">
        <f>M501-K501</f>
        <v/>
      </c>
      <c r="O501" s="7">
        <f>(M501/K501)-1</f>
        <v/>
      </c>
      <c r="P501" s="4" t="n"/>
    </row>
    <row hidden="1" r="502" s="64" spans="1:23">
      <c r="A502" s="1" t="n">
        <v>42378</v>
      </c>
      <c r="B502" s="25" t="n">
        <v>3268.37</v>
      </c>
      <c r="C502" s="1" t="n">
        <v>42744</v>
      </c>
      <c r="D502" s="25" t="n">
        <v>2919.01</v>
      </c>
      <c r="E502" s="25" t="n"/>
      <c r="F502" s="25" t="n"/>
      <c r="G502" s="28">
        <f>D502-B502</f>
        <v/>
      </c>
      <c r="H502" s="10">
        <f>(D502/B502)-1</f>
        <v/>
      </c>
      <c r="I502" s="7" t="n"/>
      <c r="J502" s="1" t="n">
        <v>42822</v>
      </c>
      <c r="K502" s="25" t="n">
        <v>2913.48</v>
      </c>
      <c r="L502" s="1" t="n">
        <v>43187</v>
      </c>
      <c r="M502" s="25" t="n">
        <v>2780.04</v>
      </c>
      <c r="N502" s="26">
        <f>M502-K502</f>
        <v/>
      </c>
      <c r="O502" s="7">
        <f>(M502/K502)-1</f>
        <v/>
      </c>
      <c r="P502" s="4" t="n"/>
    </row>
    <row hidden="1" r="503" s="64" spans="1:23">
      <c r="A503" s="1" t="n">
        <v>42379</v>
      </c>
      <c r="B503" s="25" t="n">
        <v>3268.37</v>
      </c>
      <c r="C503" s="1" t="n">
        <v>42745</v>
      </c>
      <c r="D503" s="25" t="n">
        <v>2919.01</v>
      </c>
      <c r="E503" s="25" t="n"/>
      <c r="F503" s="25" t="n"/>
      <c r="G503" s="28">
        <f>D503-B503</f>
        <v/>
      </c>
      <c r="H503" s="10">
        <f>(D503/B503)-1</f>
        <v/>
      </c>
      <c r="I503" s="7" t="n"/>
      <c r="J503" s="1" t="n">
        <v>42822</v>
      </c>
      <c r="K503" s="25" t="n">
        <v>2913.48</v>
      </c>
      <c r="L503" s="1" t="n">
        <v>43187</v>
      </c>
      <c r="M503" s="25" t="n">
        <v>2780.04</v>
      </c>
      <c r="N503" s="26">
        <f>M503-K503</f>
        <v/>
      </c>
      <c r="O503" s="7">
        <f>(M503/K503)-1</f>
        <v/>
      </c>
      <c r="P503" s="4" t="n"/>
    </row>
    <row hidden="1" r="504" s="64" spans="1:23">
      <c r="A504" s="1" t="n">
        <v>42380</v>
      </c>
      <c r="B504" s="25" t="n">
        <v>3268.37</v>
      </c>
      <c r="C504" s="1" t="n">
        <v>42746</v>
      </c>
      <c r="D504" s="25" t="n">
        <v>2949.6</v>
      </c>
      <c r="E504" s="25" t="n"/>
      <c r="F504" s="25" t="n"/>
      <c r="G504" s="28">
        <f>D504-B504</f>
        <v/>
      </c>
      <c r="H504" s="10">
        <f>(D504/B504)-1</f>
        <v/>
      </c>
      <c r="I504" s="7" t="n"/>
      <c r="J504" s="1" t="n">
        <v>42822</v>
      </c>
      <c r="K504" s="25" t="n">
        <v>2913.48</v>
      </c>
      <c r="L504" s="1" t="n">
        <v>43187</v>
      </c>
      <c r="M504" s="25" t="n">
        <v>2780.04</v>
      </c>
      <c r="N504" s="26">
        <f>M504-K504</f>
        <v/>
      </c>
      <c r="O504" s="7">
        <f>(M504/K504)-1</f>
        <v/>
      </c>
      <c r="P504" s="4" t="n"/>
    </row>
    <row hidden="1" r="505" s="64" spans="1:23">
      <c r="A505" s="1" t="n">
        <v>42381</v>
      </c>
      <c r="B505" s="25" t="n">
        <v>3268.37</v>
      </c>
      <c r="C505" s="1" t="n">
        <v>42747</v>
      </c>
      <c r="D505" s="25" t="n">
        <v>2980.8</v>
      </c>
      <c r="E505" s="25" t="n"/>
      <c r="F505" s="25" t="n"/>
      <c r="G505" s="28">
        <f>D505-B505</f>
        <v/>
      </c>
      <c r="H505" s="10">
        <f>(D505/B505)-1</f>
        <v/>
      </c>
      <c r="I505" s="7" t="n"/>
      <c r="J505" s="1" t="n">
        <v>42822</v>
      </c>
      <c r="K505" s="25" t="n">
        <v>2913.48</v>
      </c>
      <c r="L505" s="1" t="n">
        <v>43187</v>
      </c>
      <c r="M505" s="25" t="n">
        <v>2780.04</v>
      </c>
      <c r="N505" s="26">
        <f>M505-K505</f>
        <v/>
      </c>
      <c r="O505" s="7">
        <f>(M505/K505)-1</f>
        <v/>
      </c>
      <c r="P505" s="4" t="n"/>
    </row>
    <row hidden="1" r="506" s="64" spans="1:23">
      <c r="A506" s="1" t="n">
        <v>42382</v>
      </c>
      <c r="B506" s="25" t="n">
        <v>3246.51</v>
      </c>
      <c r="C506" s="1" t="n">
        <v>42748</v>
      </c>
      <c r="D506" s="25" t="n">
        <v>2930.19</v>
      </c>
      <c r="E506" s="25" t="n"/>
      <c r="F506" s="25" t="n"/>
      <c r="G506" s="28">
        <f>D506-B506</f>
        <v/>
      </c>
      <c r="H506" s="10">
        <f>(D506/B506)-1</f>
        <v/>
      </c>
      <c r="I506" s="7" t="n"/>
      <c r="J506" s="1" t="n">
        <v>42822</v>
      </c>
      <c r="K506" s="25" t="n">
        <v>2913.48</v>
      </c>
      <c r="L506" s="1" t="n">
        <v>43187</v>
      </c>
      <c r="M506" s="25" t="n">
        <v>2780.04</v>
      </c>
      <c r="N506" s="26">
        <f>M506-K506</f>
        <v/>
      </c>
      <c r="O506" s="7">
        <f>(M506/K506)-1</f>
        <v/>
      </c>
      <c r="P506" s="4" t="n"/>
    </row>
    <row hidden="1" r="507" s="64" spans="1:23">
      <c r="A507" s="1" t="n">
        <v>42383</v>
      </c>
      <c r="B507" s="25" t="n">
        <v>3235.45</v>
      </c>
      <c r="C507" s="1" t="n">
        <v>42749</v>
      </c>
      <c r="D507" s="25" t="n">
        <v>2935.96</v>
      </c>
      <c r="E507" s="25" t="n"/>
      <c r="F507" s="25" t="n"/>
      <c r="G507" s="28">
        <f>D507-B507</f>
        <v/>
      </c>
      <c r="H507" s="10">
        <f>(D507/B507)-1</f>
        <v/>
      </c>
      <c r="I507" s="7" t="n"/>
      <c r="J507" s="1" t="n">
        <v>42822</v>
      </c>
      <c r="K507" s="25" t="n">
        <v>2913.48</v>
      </c>
      <c r="L507" s="1" t="n">
        <v>43187</v>
      </c>
      <c r="M507" s="25" t="n">
        <v>2780.04</v>
      </c>
      <c r="N507" s="26">
        <f>M507-K507</f>
        <v/>
      </c>
      <c r="O507" s="7">
        <f>(M507/K507)-1</f>
        <v/>
      </c>
      <c r="P507" s="4" t="n"/>
    </row>
    <row hidden="1" r="508" s="64" spans="1:23">
      <c r="A508" s="1" t="n">
        <v>42384</v>
      </c>
      <c r="B508" s="25" t="n">
        <v>3240.71</v>
      </c>
      <c r="C508" s="1" t="n">
        <v>42750</v>
      </c>
      <c r="D508" s="25" t="n">
        <v>2935.96</v>
      </c>
      <c r="E508" s="25" t="n"/>
      <c r="F508" s="25" t="n"/>
      <c r="G508" s="28">
        <f>D508-B508</f>
        <v/>
      </c>
      <c r="H508" s="10">
        <f>(D508/B508)-1</f>
        <v/>
      </c>
      <c r="I508" s="7" t="n"/>
      <c r="J508" s="1" t="n">
        <v>42822</v>
      </c>
      <c r="K508" s="25" t="n">
        <v>2913.48</v>
      </c>
      <c r="L508" s="1" t="n">
        <v>43187</v>
      </c>
      <c r="M508" s="25" t="n">
        <v>2780.04</v>
      </c>
      <c r="N508" s="26">
        <f>M508-K508</f>
        <v/>
      </c>
      <c r="O508" s="7">
        <f>(M508/K508)-1</f>
        <v/>
      </c>
      <c r="P508" s="4" t="n"/>
    </row>
    <row hidden="1" r="509" s="64" spans="1:23">
      <c r="A509" s="1" t="n">
        <v>42385</v>
      </c>
      <c r="B509" s="25" t="n">
        <v>3293.94</v>
      </c>
      <c r="C509" s="1" t="n">
        <v>42751</v>
      </c>
      <c r="D509" s="25" t="n">
        <v>2935.96</v>
      </c>
      <c r="E509" s="25" t="n"/>
      <c r="F509" s="25" t="n"/>
      <c r="G509" s="28">
        <f>D509-B509</f>
        <v/>
      </c>
      <c r="H509" s="10">
        <f>(D509/B509)-1</f>
        <v/>
      </c>
      <c r="I509" s="7" t="n"/>
      <c r="J509" s="1" t="n">
        <v>42822</v>
      </c>
      <c r="K509" s="25" t="n">
        <v>2913.48</v>
      </c>
      <c r="L509" s="1" t="n">
        <v>43187</v>
      </c>
      <c r="M509" s="25" t="n">
        <v>2780.04</v>
      </c>
      <c r="N509" s="26">
        <f>M509-K509</f>
        <v/>
      </c>
      <c r="O509" s="7">
        <f>(M509/K509)-1</f>
        <v/>
      </c>
      <c r="P509" s="4" t="n"/>
    </row>
    <row hidden="1" r="510" s="64" spans="1:23">
      <c r="A510" s="1" t="n">
        <v>42386</v>
      </c>
      <c r="B510" s="25" t="n">
        <v>3293.94</v>
      </c>
      <c r="C510" s="1" t="n">
        <v>42752</v>
      </c>
      <c r="D510" s="25" t="n">
        <v>2935.96</v>
      </c>
      <c r="E510" s="25" t="n"/>
      <c r="F510" s="25" t="n"/>
      <c r="G510" s="28">
        <f>D510-B510</f>
        <v/>
      </c>
      <c r="H510" s="10">
        <f>(D510/B510)-1</f>
        <v/>
      </c>
      <c r="I510" s="7" t="n"/>
      <c r="J510" s="1" t="n">
        <v>42822</v>
      </c>
      <c r="K510" s="25" t="n">
        <v>2913.48</v>
      </c>
      <c r="L510" s="1" t="n">
        <v>43187</v>
      </c>
      <c r="M510" s="25" t="n">
        <v>2780.04</v>
      </c>
      <c r="N510" s="26">
        <f>M510-K510</f>
        <v/>
      </c>
      <c r="O510" s="7">
        <f>(M510/K510)-1</f>
        <v/>
      </c>
      <c r="P510" s="4" t="n"/>
    </row>
    <row hidden="1" r="511" s="64" spans="1:23">
      <c r="A511" s="1" t="n">
        <v>42387</v>
      </c>
      <c r="B511" s="25" t="n">
        <v>3293.94</v>
      </c>
      <c r="C511" s="1" t="n">
        <v>42753</v>
      </c>
      <c r="D511" s="25" t="n">
        <v>2924.77</v>
      </c>
      <c r="E511" s="25" t="n"/>
      <c r="F511" s="25" t="n"/>
      <c r="G511" s="28">
        <f>D511-B511</f>
        <v/>
      </c>
      <c r="H511" s="10">
        <f>(D511/B511)-1</f>
        <v/>
      </c>
      <c r="I511" s="7" t="n"/>
      <c r="J511" s="1" t="n">
        <v>42822</v>
      </c>
      <c r="K511" s="25" t="n">
        <v>2913.48</v>
      </c>
      <c r="L511" s="1" t="n">
        <v>43187</v>
      </c>
      <c r="M511" s="25" t="n">
        <v>2780.04</v>
      </c>
      <c r="N511" s="26">
        <f>M511-K511</f>
        <v/>
      </c>
      <c r="O511" s="7">
        <f>(M511/K511)-1</f>
        <v/>
      </c>
      <c r="P511" s="4" t="n"/>
    </row>
    <row hidden="1" r="512" s="64" spans="1:23">
      <c r="A512" s="1" t="n">
        <v>42388</v>
      </c>
      <c r="B512" s="25" t="n">
        <v>3293.94</v>
      </c>
      <c r="C512" s="1" t="n">
        <v>42754</v>
      </c>
      <c r="D512" s="25" t="n">
        <v>2934.58</v>
      </c>
      <c r="E512" s="25" t="n"/>
      <c r="F512" s="25" t="n"/>
      <c r="G512" s="28">
        <f>D512-B512</f>
        <v/>
      </c>
      <c r="H512" s="10">
        <f>(D512/B512)-1</f>
        <v/>
      </c>
      <c r="I512" s="7" t="n"/>
      <c r="J512" s="1" t="n">
        <v>42822</v>
      </c>
      <c r="K512" s="25" t="n">
        <v>2913.48</v>
      </c>
      <c r="L512" s="1" t="n">
        <v>43187</v>
      </c>
      <c r="M512" s="25" t="n">
        <v>2780.04</v>
      </c>
      <c r="N512" s="26">
        <f>M512-K512</f>
        <v/>
      </c>
      <c r="O512" s="7">
        <f>(M512/K512)-1</f>
        <v/>
      </c>
      <c r="P512" s="4" t="n"/>
    </row>
    <row hidden="1" r="513" s="64" spans="1:23">
      <c r="A513" s="1" t="n">
        <v>42389</v>
      </c>
      <c r="B513" s="25" t="n">
        <v>3297.46</v>
      </c>
      <c r="C513" s="1" t="n">
        <v>42755</v>
      </c>
      <c r="D513" s="25" t="n">
        <v>2938.24</v>
      </c>
      <c r="E513" s="25" t="n"/>
      <c r="F513" s="25" t="n"/>
      <c r="G513" s="28">
        <f>D513-B513</f>
        <v/>
      </c>
      <c r="H513" s="10">
        <f>(D513/B513)-1</f>
        <v/>
      </c>
      <c r="I513" s="7" t="n"/>
      <c r="J513" s="1" t="n">
        <v>42822</v>
      </c>
      <c r="K513" s="25" t="n">
        <v>2913.48</v>
      </c>
      <c r="L513" s="1" t="n">
        <v>43187</v>
      </c>
      <c r="M513" s="25" t="n">
        <v>2780.04</v>
      </c>
      <c r="N513" s="26">
        <f>M513-K513</f>
        <v/>
      </c>
      <c r="O513" s="7">
        <f>(M513/K513)-1</f>
        <v/>
      </c>
      <c r="P513" s="4" t="n"/>
    </row>
    <row hidden="1" r="514" s="64" spans="1:23">
      <c r="A514" s="1" t="n">
        <v>42390</v>
      </c>
      <c r="B514" s="25" t="n">
        <v>3357.67</v>
      </c>
      <c r="C514" s="1" t="n">
        <v>42756</v>
      </c>
      <c r="D514" s="25" t="n">
        <v>2927.91</v>
      </c>
      <c r="E514" s="25" t="n"/>
      <c r="F514" s="25" t="n"/>
      <c r="G514" s="28">
        <f>D514-B514</f>
        <v/>
      </c>
      <c r="H514" s="10">
        <f>(D514/B514)-1</f>
        <v/>
      </c>
      <c r="I514" s="7" t="n"/>
      <c r="J514" s="1" t="n">
        <v>42822</v>
      </c>
      <c r="K514" s="25" t="n">
        <v>2913.48</v>
      </c>
      <c r="L514" s="1" t="n">
        <v>43187</v>
      </c>
      <c r="M514" s="25" t="n">
        <v>2780.04</v>
      </c>
      <c r="N514" s="26">
        <f>M514-K514</f>
        <v/>
      </c>
      <c r="O514" s="7">
        <f>(M514/K514)-1</f>
        <v/>
      </c>
      <c r="P514" s="4" t="n"/>
    </row>
    <row hidden="1" r="515" s="64" spans="1:23">
      <c r="A515" s="1" t="n">
        <v>42391</v>
      </c>
      <c r="B515" s="25" t="n">
        <v>3368.49</v>
      </c>
      <c r="C515" s="1" t="n">
        <v>42757</v>
      </c>
      <c r="D515" s="25" t="n">
        <v>2927.91</v>
      </c>
      <c r="E515" s="25" t="n"/>
      <c r="F515" s="25" t="n"/>
      <c r="G515" s="28">
        <f>D515-B515</f>
        <v/>
      </c>
      <c r="H515" s="10">
        <f>(D515/B515)-1</f>
        <v/>
      </c>
      <c r="I515" s="7" t="n"/>
      <c r="J515" s="1" t="n">
        <v>42822</v>
      </c>
      <c r="K515" s="25" t="n">
        <v>2913.48</v>
      </c>
      <c r="L515" s="1" t="n">
        <v>43187</v>
      </c>
      <c r="M515" s="25" t="n">
        <v>2780.04</v>
      </c>
      <c r="N515" s="26">
        <f>M515-K515</f>
        <v/>
      </c>
      <c r="O515" s="7">
        <f>(M515/K515)-1</f>
        <v/>
      </c>
      <c r="P515" s="4" t="n"/>
    </row>
    <row hidden="1" r="516" s="64" spans="1:23">
      <c r="A516" s="1" t="n">
        <v>42392</v>
      </c>
      <c r="B516" s="25" t="n">
        <v>3281.74</v>
      </c>
      <c r="C516" s="1" t="n">
        <v>42758</v>
      </c>
      <c r="D516" s="25" t="n">
        <v>2927.91</v>
      </c>
      <c r="E516" s="25" t="n"/>
      <c r="F516" s="25" t="n"/>
      <c r="G516" s="28">
        <f>D516-B516</f>
        <v/>
      </c>
      <c r="H516" s="10">
        <f>(D516/B516)-1</f>
        <v/>
      </c>
      <c r="I516" s="7" t="n"/>
      <c r="J516" s="1" t="n">
        <v>42822</v>
      </c>
      <c r="K516" s="25" t="n">
        <v>2913.48</v>
      </c>
      <c r="L516" s="1" t="n">
        <v>43187</v>
      </c>
      <c r="M516" s="25" t="n">
        <v>2780.04</v>
      </c>
      <c r="N516" s="26">
        <f>M516-K516</f>
        <v/>
      </c>
      <c r="O516" s="7">
        <f>(M516/K516)-1</f>
        <v/>
      </c>
      <c r="P516" s="4" t="n"/>
    </row>
    <row hidden="1" r="517" s="64" spans="1:23">
      <c r="A517" s="1" t="n">
        <v>42393</v>
      </c>
      <c r="B517" s="25" t="n">
        <v>3281.74</v>
      </c>
      <c r="C517" s="1" t="n">
        <v>42759</v>
      </c>
      <c r="D517" s="25" t="n">
        <v>2908.53</v>
      </c>
      <c r="E517" s="25" t="n"/>
      <c r="F517" s="25" t="n"/>
      <c r="G517" s="28">
        <f>D517-B517</f>
        <v/>
      </c>
      <c r="H517" s="10">
        <f>(D517/B517)-1</f>
        <v/>
      </c>
      <c r="I517" s="7" t="n"/>
      <c r="J517" s="1" t="n">
        <v>42822</v>
      </c>
      <c r="K517" s="25" t="n">
        <v>2913.48</v>
      </c>
      <c r="L517" s="1" t="n">
        <v>43187</v>
      </c>
      <c r="M517" s="25" t="n">
        <v>2780.04</v>
      </c>
      <c r="N517" s="26">
        <f>M517-K517</f>
        <v/>
      </c>
      <c r="O517" s="7">
        <f>(M517/K517)-1</f>
        <v/>
      </c>
      <c r="P517" s="4" t="n"/>
    </row>
    <row hidden="1" r="518" s="64" spans="1:23">
      <c r="A518" s="1" t="n">
        <v>42394</v>
      </c>
      <c r="B518" s="25" t="n">
        <v>3281.74</v>
      </c>
      <c r="C518" s="1" t="n">
        <v>42760</v>
      </c>
      <c r="D518" s="25" t="n">
        <v>2932.01</v>
      </c>
      <c r="E518" s="25" t="n"/>
      <c r="F518" s="25" t="n"/>
      <c r="G518" s="28">
        <f>D518-B518</f>
        <v/>
      </c>
      <c r="H518" s="10">
        <f>(D518/B518)-1</f>
        <v/>
      </c>
      <c r="I518" s="7" t="n"/>
      <c r="J518" s="1" t="n">
        <v>42822</v>
      </c>
      <c r="K518" s="25" t="n">
        <v>2913.48</v>
      </c>
      <c r="L518" s="1" t="n">
        <v>43187</v>
      </c>
      <c r="M518" s="25" t="n">
        <v>2780.04</v>
      </c>
      <c r="N518" s="26">
        <f>M518-K518</f>
        <v/>
      </c>
      <c r="O518" s="7">
        <f>(M518/K518)-1</f>
        <v/>
      </c>
      <c r="P518" s="4" t="n"/>
    </row>
    <row hidden="1" r="519" s="64" spans="1:23">
      <c r="A519" s="1" t="n">
        <v>42395</v>
      </c>
      <c r="B519" s="25" t="n">
        <v>3362.38</v>
      </c>
      <c r="C519" s="1" t="n">
        <v>42761</v>
      </c>
      <c r="D519" s="25" t="n">
        <v>2927.53</v>
      </c>
      <c r="E519" s="25" t="n"/>
      <c r="F519" s="25" t="n"/>
      <c r="G519" s="28">
        <f>D519-B519</f>
        <v/>
      </c>
      <c r="H519" s="10">
        <f>(D519/B519)-1</f>
        <v/>
      </c>
      <c r="I519" s="7" t="n"/>
      <c r="J519" s="1" t="n">
        <v>42822</v>
      </c>
      <c r="K519" s="25" t="n">
        <v>2913.48</v>
      </c>
      <c r="L519" s="1" t="n">
        <v>43187</v>
      </c>
      <c r="M519" s="25" t="n">
        <v>2780.04</v>
      </c>
      <c r="N519" s="26">
        <f>M519-K519</f>
        <v/>
      </c>
      <c r="O519" s="7">
        <f>(M519/K519)-1</f>
        <v/>
      </c>
      <c r="P519" s="4" t="n"/>
    </row>
    <row hidden="1" r="520" s="64" spans="1:23">
      <c r="A520" s="1" t="n">
        <v>42396</v>
      </c>
      <c r="B520" s="25" t="n">
        <v>3375.8</v>
      </c>
      <c r="C520" s="1" t="n">
        <v>42762</v>
      </c>
      <c r="D520" s="25" t="n">
        <v>2936.72</v>
      </c>
      <c r="E520" s="25" t="n"/>
      <c r="F520" s="25" t="n"/>
      <c r="G520" s="28">
        <f>D520-B520</f>
        <v/>
      </c>
      <c r="H520" s="10">
        <f>(D520/B520)-1</f>
        <v/>
      </c>
      <c r="I520" s="7" t="n"/>
      <c r="J520" s="1" t="n">
        <v>42822</v>
      </c>
      <c r="K520" s="25" t="n">
        <v>2913.48</v>
      </c>
      <c r="L520" s="1" t="n">
        <v>43187</v>
      </c>
      <c r="M520" s="25" t="n">
        <v>2780.04</v>
      </c>
      <c r="N520" s="26">
        <f>M520-K520</f>
        <v/>
      </c>
      <c r="O520" s="7">
        <f>(M520/K520)-1</f>
        <v/>
      </c>
      <c r="P520" s="4" t="n"/>
    </row>
    <row hidden="1" r="521" s="64" spans="1:23">
      <c r="A521" s="1" t="n">
        <v>42397</v>
      </c>
      <c r="B521" s="25" t="n">
        <v>3366.63</v>
      </c>
      <c r="C521" s="1" t="n">
        <v>42763</v>
      </c>
      <c r="D521" s="25" t="n">
        <v>2930.17</v>
      </c>
      <c r="E521" s="25" t="n"/>
      <c r="F521" s="25" t="n"/>
      <c r="G521" s="28">
        <f>D521-B521</f>
        <v/>
      </c>
      <c r="H521" s="10">
        <f>(D521/B521)-1</f>
        <v/>
      </c>
      <c r="I521" s="7" t="n"/>
      <c r="J521" s="1" t="n">
        <v>42822</v>
      </c>
      <c r="K521" s="25" t="n">
        <v>2913.48</v>
      </c>
      <c r="L521" s="1" t="n">
        <v>43187</v>
      </c>
      <c r="M521" s="25" t="n">
        <v>2780.04</v>
      </c>
      <c r="N521" s="26">
        <f>M521-K521</f>
        <v/>
      </c>
      <c r="O521" s="7">
        <f>(M521/K521)-1</f>
        <v/>
      </c>
      <c r="P521" s="4" t="n"/>
    </row>
    <row hidden="1" r="522" s="64" spans="1:23">
      <c r="A522" s="1" t="n">
        <v>42398</v>
      </c>
      <c r="B522" s="25" t="n">
        <v>3302.92</v>
      </c>
      <c r="C522" s="1" t="n">
        <v>42764</v>
      </c>
      <c r="D522" s="25" t="n">
        <v>2930.17</v>
      </c>
      <c r="E522" s="25" t="n"/>
      <c r="F522" s="25" t="n"/>
      <c r="G522" s="28">
        <f>D522-B522</f>
        <v/>
      </c>
      <c r="H522" s="10">
        <f>(D522/B522)-1</f>
        <v/>
      </c>
      <c r="I522" s="7" t="n"/>
      <c r="J522" s="1" t="n">
        <v>42822</v>
      </c>
      <c r="K522" s="25" t="n">
        <v>2913.48</v>
      </c>
      <c r="L522" s="1" t="n">
        <v>43187</v>
      </c>
      <c r="M522" s="25" t="n">
        <v>2780.04</v>
      </c>
      <c r="N522" s="26">
        <f>M522-K522</f>
        <v/>
      </c>
      <c r="O522" s="7">
        <f>(M522/K522)-1</f>
        <v/>
      </c>
      <c r="P522" s="4" t="n"/>
    </row>
    <row hidden="1" r="523" s="64" spans="1:23">
      <c r="A523" s="1" t="n">
        <v>42399</v>
      </c>
      <c r="B523" s="25" t="n">
        <v>3287.31</v>
      </c>
      <c r="C523" s="1" t="n">
        <v>42765</v>
      </c>
      <c r="D523" s="25" t="n">
        <v>2930.17</v>
      </c>
      <c r="E523" s="25" t="n"/>
      <c r="F523" s="25" t="n"/>
      <c r="G523" s="28">
        <f>D523-B523</f>
        <v/>
      </c>
      <c r="H523" s="10">
        <f>(D523/B523)-1</f>
        <v/>
      </c>
      <c r="I523" s="7" t="n"/>
      <c r="J523" s="1" t="n">
        <v>42822</v>
      </c>
      <c r="K523" s="25" t="n">
        <v>2913.48</v>
      </c>
      <c r="L523" s="1" t="n">
        <v>43187</v>
      </c>
      <c r="M523" s="25" t="n">
        <v>2780.04</v>
      </c>
      <c r="N523" s="26">
        <f>M523-K523</f>
        <v/>
      </c>
      <c r="O523" s="7">
        <f>(M523/K523)-1</f>
        <v/>
      </c>
      <c r="P523" s="4" t="n"/>
    </row>
    <row hidden="1" r="524" s="64" spans="1:23">
      <c r="A524" s="1" t="n">
        <v>42400</v>
      </c>
      <c r="B524" s="25" t="n">
        <v>3287.31</v>
      </c>
      <c r="C524" s="1" t="n">
        <v>42766</v>
      </c>
      <c r="D524" s="25" t="n">
        <v>2936.66</v>
      </c>
      <c r="E524" s="25" t="n"/>
      <c r="F524" s="25" t="n"/>
      <c r="G524" s="28">
        <f>D524-B524</f>
        <v/>
      </c>
      <c r="H524" s="10">
        <f>(D524/B524)-1</f>
        <v/>
      </c>
      <c r="I524" s="7" t="n"/>
      <c r="J524" s="1" t="n">
        <v>42822</v>
      </c>
      <c r="K524" s="25" t="n">
        <v>2913.48</v>
      </c>
      <c r="L524" s="1" t="n">
        <v>43187</v>
      </c>
      <c r="M524" s="25" t="n">
        <v>2780.04</v>
      </c>
      <c r="N524" s="26">
        <f>M524-K524</f>
        <v/>
      </c>
      <c r="O524" s="7">
        <f>(M524/K524)-1</f>
        <v/>
      </c>
      <c r="P524" s="4" t="n"/>
    </row>
    <row hidden="1" r="525" s="64" spans="1:23">
      <c r="A525" s="1" t="n">
        <v>42401</v>
      </c>
      <c r="B525" s="25" t="n">
        <v>3287.31</v>
      </c>
      <c r="C525" s="1" t="n">
        <v>42767</v>
      </c>
      <c r="D525" s="25" t="n">
        <v>2921.9</v>
      </c>
      <c r="E525" s="25" t="n"/>
      <c r="F525" s="25" t="n"/>
      <c r="G525" s="28">
        <f>D525-B525</f>
        <v/>
      </c>
      <c r="H525" s="10">
        <f>(D525/B525)-1</f>
        <v/>
      </c>
      <c r="I525" s="7" t="n"/>
      <c r="J525" s="1" t="n">
        <v>42822</v>
      </c>
      <c r="K525" s="25" t="n">
        <v>2913.48</v>
      </c>
      <c r="L525" s="1" t="n">
        <v>43187</v>
      </c>
      <c r="M525" s="25" t="n">
        <v>2780.04</v>
      </c>
      <c r="N525" s="26">
        <f>M525-K525</f>
        <v/>
      </c>
      <c r="O525" s="7">
        <f>(M525/K525)-1</f>
        <v/>
      </c>
      <c r="P525" s="4" t="n"/>
    </row>
    <row hidden="1" r="526" s="64" spans="1:23">
      <c r="A526" s="1" t="n">
        <v>42402</v>
      </c>
      <c r="B526" s="25" t="n">
        <v>3326.82</v>
      </c>
      <c r="C526" s="1" t="n">
        <v>42768</v>
      </c>
      <c r="D526" s="25" t="n">
        <v>2906.78</v>
      </c>
      <c r="E526" s="25" t="n"/>
      <c r="F526" s="25" t="n"/>
      <c r="G526" s="28">
        <f>D526-B526</f>
        <v/>
      </c>
      <c r="H526" s="10">
        <f>(D526/B526)-1</f>
        <v/>
      </c>
      <c r="I526" s="7" t="n"/>
      <c r="J526" s="1" t="n">
        <v>42822</v>
      </c>
      <c r="K526" s="25" t="n">
        <v>2913.48</v>
      </c>
      <c r="L526" s="1" t="n">
        <v>43187</v>
      </c>
      <c r="M526" s="25" t="n">
        <v>2780.04</v>
      </c>
      <c r="N526" s="26">
        <f>M526-K526</f>
        <v/>
      </c>
      <c r="O526" s="7">
        <f>(M526/K526)-1</f>
        <v/>
      </c>
      <c r="P526" s="4" t="n"/>
    </row>
    <row hidden="1" r="527" s="64" spans="1:23">
      <c r="A527" s="1" t="n">
        <v>42403</v>
      </c>
      <c r="B527" s="25" t="n">
        <v>3387.69</v>
      </c>
      <c r="C527" s="1" t="n">
        <v>42769</v>
      </c>
      <c r="D527" s="25" t="n">
        <v>2882.2</v>
      </c>
      <c r="E527" s="25" t="n"/>
      <c r="F527" s="25" t="n"/>
      <c r="G527" s="28">
        <f>D527-B527</f>
        <v/>
      </c>
      <c r="H527" s="10">
        <f>(D527/B527)-1</f>
        <v/>
      </c>
      <c r="I527" s="7" t="n"/>
      <c r="J527" s="1" t="n">
        <v>42822</v>
      </c>
      <c r="K527" s="25" t="n">
        <v>2913.48</v>
      </c>
      <c r="L527" s="1" t="n">
        <v>43187</v>
      </c>
      <c r="M527" s="25" t="n">
        <v>2780.04</v>
      </c>
      <c r="N527" s="26">
        <f>M527-K527</f>
        <v/>
      </c>
      <c r="O527" s="7">
        <f>(M527/K527)-1</f>
        <v/>
      </c>
      <c r="P527" s="4" t="n"/>
    </row>
    <row hidden="1" r="528" s="64" spans="1:23">
      <c r="A528" s="1" t="n">
        <v>42404</v>
      </c>
      <c r="B528" s="25" t="n">
        <v>3382.2</v>
      </c>
      <c r="C528" s="1" t="n">
        <v>42770</v>
      </c>
      <c r="D528" s="25" t="n">
        <v>2855.8</v>
      </c>
      <c r="E528" s="25" t="n"/>
      <c r="F528" s="25" t="n"/>
      <c r="G528" s="28">
        <f>D528-B528</f>
        <v/>
      </c>
      <c r="H528" s="10">
        <f>(D528/B528)-1</f>
        <v/>
      </c>
      <c r="I528" s="7" t="n"/>
      <c r="J528" s="1" t="n">
        <v>42822</v>
      </c>
      <c r="K528" s="25" t="n">
        <v>2913.48</v>
      </c>
      <c r="L528" s="1" t="n">
        <v>43187</v>
      </c>
      <c r="M528" s="25" t="n">
        <v>2780.04</v>
      </c>
      <c r="N528" s="26">
        <f>M528-K528</f>
        <v/>
      </c>
      <c r="O528" s="7">
        <f>(M528/K528)-1</f>
        <v/>
      </c>
      <c r="P528" s="4" t="n"/>
    </row>
    <row hidden="1" r="529" s="64" spans="1:23">
      <c r="A529" s="1" t="n">
        <v>42405</v>
      </c>
      <c r="B529" s="25" t="n">
        <v>3315.75</v>
      </c>
      <c r="C529" s="1" t="n">
        <v>42771</v>
      </c>
      <c r="D529" s="25" t="n">
        <v>2855.8</v>
      </c>
      <c r="E529" s="25" t="n"/>
      <c r="F529" s="25" t="n"/>
      <c r="G529" s="28">
        <f>D529-B529</f>
        <v/>
      </c>
      <c r="H529" s="10">
        <f>(D529/B529)-1</f>
        <v/>
      </c>
      <c r="I529" s="7" t="n"/>
      <c r="J529" s="1" t="n">
        <v>42822</v>
      </c>
      <c r="K529" s="25" t="n">
        <v>2913.48</v>
      </c>
      <c r="L529" s="1" t="n">
        <v>43187</v>
      </c>
      <c r="M529" s="25" t="n">
        <v>2780.04</v>
      </c>
      <c r="N529" s="26">
        <f>M529-K529</f>
        <v/>
      </c>
      <c r="O529" s="7">
        <f>(M529/K529)-1</f>
        <v/>
      </c>
      <c r="P529" s="4" t="n"/>
    </row>
    <row hidden="1" r="530" s="64" spans="1:23">
      <c r="A530" s="1" t="n">
        <v>42406</v>
      </c>
      <c r="B530" s="25" t="n">
        <v>3320.49</v>
      </c>
      <c r="C530" s="1" t="n">
        <v>42772</v>
      </c>
      <c r="D530" s="25" t="n">
        <v>2855.8</v>
      </c>
      <c r="E530" s="25" t="n"/>
      <c r="F530" s="25" t="n"/>
      <c r="G530" s="28">
        <f>D530-B530</f>
        <v/>
      </c>
      <c r="H530" s="10">
        <f>(D530/B530)-1</f>
        <v/>
      </c>
      <c r="I530" s="7" t="n"/>
      <c r="J530" s="1" t="n">
        <v>42822</v>
      </c>
      <c r="K530" s="25" t="n">
        <v>2913.48</v>
      </c>
      <c r="L530" s="1" t="n">
        <v>43187</v>
      </c>
      <c r="M530" s="25" t="n">
        <v>2780.04</v>
      </c>
      <c r="N530" s="26">
        <f>M530-K530</f>
        <v/>
      </c>
      <c r="O530" s="7">
        <f>(M530/K530)-1</f>
        <v/>
      </c>
      <c r="P530" s="4" t="n"/>
    </row>
    <row hidden="1" r="531" s="64" spans="1:23">
      <c r="A531" s="1" t="n">
        <v>42407</v>
      </c>
      <c r="B531" s="25" t="n">
        <v>3320.49</v>
      </c>
      <c r="C531" s="1" t="n">
        <v>42773</v>
      </c>
      <c r="D531" s="25" t="n">
        <v>2853.99</v>
      </c>
      <c r="E531" s="25" t="n"/>
      <c r="F531" s="25" t="n"/>
      <c r="G531" s="28">
        <f>D531-B531</f>
        <v/>
      </c>
      <c r="H531" s="10">
        <f>(D531/B531)-1</f>
        <v/>
      </c>
      <c r="I531" s="7" t="n"/>
      <c r="J531" s="1" t="n">
        <v>42822</v>
      </c>
      <c r="K531" s="25" t="n">
        <v>2913.48</v>
      </c>
      <c r="L531" s="1" t="n">
        <v>43187</v>
      </c>
      <c r="M531" s="25" t="n">
        <v>2780.04</v>
      </c>
      <c r="N531" s="26">
        <f>M531-K531</f>
        <v/>
      </c>
      <c r="O531" s="7">
        <f>(M531/K531)-1</f>
        <v/>
      </c>
      <c r="P531" s="4" t="n"/>
    </row>
    <row hidden="1" r="532" s="64" spans="1:23">
      <c r="A532" s="1" t="n">
        <v>42408</v>
      </c>
      <c r="B532" s="25" t="n">
        <v>3320.49</v>
      </c>
      <c r="C532" s="1" t="n">
        <v>42774</v>
      </c>
      <c r="D532" s="25" t="n">
        <v>2867.76</v>
      </c>
      <c r="E532" s="25" t="n"/>
      <c r="F532" s="25" t="n"/>
      <c r="G532" s="28">
        <f>D532-B532</f>
        <v/>
      </c>
      <c r="H532" s="10">
        <f>(D532/B532)-1</f>
        <v/>
      </c>
      <c r="I532" s="7" t="n"/>
      <c r="J532" s="1" t="n">
        <v>42822</v>
      </c>
      <c r="K532" s="25" t="n">
        <v>2913.48</v>
      </c>
      <c r="L532" s="1" t="n">
        <v>43187</v>
      </c>
      <c r="M532" s="25" t="n">
        <v>2780.04</v>
      </c>
      <c r="N532" s="26">
        <f>M532-K532</f>
        <v/>
      </c>
      <c r="O532" s="7">
        <f>(M532/K532)-1</f>
        <v/>
      </c>
      <c r="P532" s="4" t="n"/>
    </row>
    <row hidden="1" r="533" s="64" spans="1:23">
      <c r="A533" s="1" t="n">
        <v>42409</v>
      </c>
      <c r="B533" s="25" t="n">
        <v>3367.02</v>
      </c>
      <c r="C533" s="1" t="n">
        <v>42775</v>
      </c>
      <c r="D533" s="25" t="n">
        <v>2879.49</v>
      </c>
      <c r="E533" s="25" t="n"/>
      <c r="F533" s="25" t="n"/>
      <c r="G533" s="28">
        <f>D533-B533</f>
        <v/>
      </c>
      <c r="H533" s="10">
        <f>(D533/B533)-1</f>
        <v/>
      </c>
      <c r="I533" s="7" t="n"/>
      <c r="J533" s="1" t="n">
        <v>42822</v>
      </c>
      <c r="K533" s="25" t="n">
        <v>2913.48</v>
      </c>
      <c r="L533" s="1" t="n">
        <v>43187</v>
      </c>
      <c r="M533" s="25" t="n">
        <v>2780.04</v>
      </c>
      <c r="N533" s="26">
        <f>M533-K533</f>
        <v/>
      </c>
      <c r="O533" s="7">
        <f>(M533/K533)-1</f>
        <v/>
      </c>
      <c r="P533" s="4" t="n"/>
    </row>
    <row hidden="1" r="534" s="64" spans="1:23">
      <c r="A534" s="1" t="n">
        <v>42410</v>
      </c>
      <c r="B534" s="25" t="n">
        <v>3391.93</v>
      </c>
      <c r="C534" s="1" t="n">
        <v>42776</v>
      </c>
      <c r="D534" s="25" t="n">
        <v>2862.63</v>
      </c>
      <c r="E534" s="25" t="n"/>
      <c r="F534" s="25" t="n"/>
      <c r="G534" s="28">
        <f>D534-B534</f>
        <v/>
      </c>
      <c r="H534" s="10">
        <f>(D534/B534)-1</f>
        <v/>
      </c>
      <c r="I534" s="7" t="n"/>
      <c r="J534" s="1" t="n">
        <v>42822</v>
      </c>
      <c r="K534" s="25" t="n">
        <v>2913.48</v>
      </c>
      <c r="L534" s="1" t="n">
        <v>43187</v>
      </c>
      <c r="M534" s="25" t="n">
        <v>2780.04</v>
      </c>
      <c r="N534" s="26">
        <f>M534-K534</f>
        <v/>
      </c>
      <c r="O534" s="7">
        <f>(M534/K534)-1</f>
        <v/>
      </c>
      <c r="P534" s="4" t="n"/>
    </row>
    <row hidden="1" r="535" s="64" spans="1:23">
      <c r="A535" s="1" t="n">
        <v>42411</v>
      </c>
      <c r="B535" s="25" t="n">
        <v>3385.65</v>
      </c>
      <c r="C535" s="1" t="n">
        <v>42777</v>
      </c>
      <c r="D535" s="25" t="n">
        <v>2851.98</v>
      </c>
      <c r="E535" s="25" t="n"/>
      <c r="F535" s="25" t="n"/>
      <c r="G535" s="28">
        <f>D535-B535</f>
        <v/>
      </c>
      <c r="H535" s="10">
        <f>(D535/B535)-1</f>
        <v/>
      </c>
      <c r="I535" s="7" t="n"/>
      <c r="J535" s="1" t="n">
        <v>42822</v>
      </c>
      <c r="K535" s="25" t="n">
        <v>2913.48</v>
      </c>
      <c r="L535" s="1" t="n">
        <v>43187</v>
      </c>
      <c r="M535" s="25" t="n">
        <v>2780.04</v>
      </c>
      <c r="N535" s="26">
        <f>M535-K535</f>
        <v/>
      </c>
      <c r="O535" s="7">
        <f>(M535/K535)-1</f>
        <v/>
      </c>
      <c r="P535" s="4" t="n"/>
    </row>
    <row hidden="1" r="536" s="64" spans="1:23">
      <c r="A536" s="1" t="n">
        <v>42412</v>
      </c>
      <c r="B536" s="25" t="n">
        <v>3434.89</v>
      </c>
      <c r="C536" s="1" t="n">
        <v>42778</v>
      </c>
      <c r="D536" s="25" t="n">
        <v>2851.98</v>
      </c>
      <c r="E536" s="25" t="n"/>
      <c r="F536" s="25" t="n"/>
      <c r="G536" s="28">
        <f>D536-B536</f>
        <v/>
      </c>
      <c r="H536" s="10">
        <f>(D536/B536)-1</f>
        <v/>
      </c>
      <c r="I536" s="7" t="n"/>
      <c r="J536" s="1" t="n">
        <v>42822</v>
      </c>
      <c r="K536" s="25" t="n">
        <v>2913.48</v>
      </c>
      <c r="L536" s="1" t="n">
        <v>43187</v>
      </c>
      <c r="M536" s="25" t="n">
        <v>2780.04</v>
      </c>
      <c r="N536" s="26">
        <f>M536-K536</f>
        <v/>
      </c>
      <c r="O536" s="7">
        <f>(M536/K536)-1</f>
        <v/>
      </c>
      <c r="P536" s="4" t="n"/>
    </row>
    <row hidden="1" r="537" s="64" spans="1:23">
      <c r="A537" s="1" t="n">
        <v>42413</v>
      </c>
      <c r="B537" s="25" t="n">
        <v>3409.82</v>
      </c>
      <c r="C537" s="1" t="n">
        <v>42779</v>
      </c>
      <c r="D537" s="25" t="n">
        <v>2851.98</v>
      </c>
      <c r="E537" s="25" t="n"/>
      <c r="F537" s="25" t="n"/>
      <c r="G537" s="28">
        <f>D537-B537</f>
        <v/>
      </c>
      <c r="H537" s="10">
        <f>(D537/B537)-1</f>
        <v/>
      </c>
      <c r="I537" s="7" t="n"/>
      <c r="J537" s="1" t="n">
        <v>42822</v>
      </c>
      <c r="K537" s="25" t="n">
        <v>2913.48</v>
      </c>
      <c r="L537" s="1" t="n">
        <v>43187</v>
      </c>
      <c r="M537" s="25" t="n">
        <v>2780.04</v>
      </c>
      <c r="N537" s="26">
        <f>M537-K537</f>
        <v/>
      </c>
      <c r="O537" s="7">
        <f>(M537/K537)-1</f>
        <v/>
      </c>
      <c r="P537" s="4" t="n"/>
    </row>
    <row hidden="1" r="538" s="64" spans="1:23">
      <c r="A538" s="1" t="n">
        <v>42414</v>
      </c>
      <c r="B538" s="25" t="n">
        <v>3409.82</v>
      </c>
      <c r="C538" s="1" t="n">
        <v>42780</v>
      </c>
      <c r="D538" s="25" t="n">
        <v>2875.46</v>
      </c>
      <c r="E538" s="25" t="n"/>
      <c r="F538" s="25" t="n"/>
      <c r="G538" s="28">
        <f>D538-B538</f>
        <v/>
      </c>
      <c r="H538" s="10">
        <f>(D538/B538)-1</f>
        <v/>
      </c>
      <c r="I538" s="7" t="n"/>
      <c r="J538" s="1" t="n">
        <v>42822</v>
      </c>
      <c r="K538" s="25" t="n">
        <v>2913.48</v>
      </c>
      <c r="L538" s="1" t="n">
        <v>43187</v>
      </c>
      <c r="M538" s="25" t="n">
        <v>2780.04</v>
      </c>
      <c r="N538" s="26">
        <f>M538-K538</f>
        <v/>
      </c>
      <c r="O538" s="7">
        <f>(M538/K538)-1</f>
        <v/>
      </c>
      <c r="P538" s="4" t="n"/>
    </row>
    <row hidden="1" r="539" s="64" spans="1:23">
      <c r="A539" s="1" t="n">
        <v>42415</v>
      </c>
      <c r="B539" s="25" t="n">
        <v>3409.82</v>
      </c>
      <c r="C539" s="1" t="n">
        <v>42781</v>
      </c>
      <c r="D539" s="25" t="n">
        <v>2867.64</v>
      </c>
      <c r="E539" s="25" t="n"/>
      <c r="F539" s="25" t="n"/>
      <c r="G539" s="28">
        <f>D539-B539</f>
        <v/>
      </c>
      <c r="H539" s="10">
        <f>(D539/B539)-1</f>
        <v/>
      </c>
      <c r="I539" s="7" t="n"/>
      <c r="J539" s="1" t="n">
        <v>42822</v>
      </c>
      <c r="K539" s="25" t="n">
        <v>2913.48</v>
      </c>
      <c r="L539" s="1" t="n">
        <v>43187</v>
      </c>
      <c r="M539" s="25" t="n">
        <v>2780.04</v>
      </c>
      <c r="N539" s="26">
        <f>M539-K539</f>
        <v/>
      </c>
      <c r="O539" s="7">
        <f>(M539/K539)-1</f>
        <v/>
      </c>
      <c r="P539" s="4" t="n"/>
    </row>
    <row hidden="1" r="540" s="64" spans="1:23">
      <c r="A540" s="1" t="n">
        <v>42416</v>
      </c>
      <c r="B540" s="25" t="n">
        <v>3409.82</v>
      </c>
      <c r="C540" s="1" t="n">
        <v>42782</v>
      </c>
      <c r="D540" s="25" t="n">
        <v>2876.03</v>
      </c>
      <c r="E540" s="25" t="n"/>
      <c r="F540" s="25" t="n"/>
      <c r="G540" s="28">
        <f>D540-B540</f>
        <v/>
      </c>
      <c r="H540" s="10">
        <f>(D540/B540)-1</f>
        <v/>
      </c>
      <c r="I540" s="7" t="n"/>
      <c r="J540" s="1" t="n">
        <v>42822</v>
      </c>
      <c r="K540" s="25" t="n">
        <v>2913.48</v>
      </c>
      <c r="L540" s="1" t="n">
        <v>43187</v>
      </c>
      <c r="M540" s="25" t="n">
        <v>2780.04</v>
      </c>
      <c r="N540" s="26">
        <f>M540-K540</f>
        <v/>
      </c>
      <c r="O540" s="7">
        <f>(M540/K540)-1</f>
        <v/>
      </c>
      <c r="P540" s="4" t="n"/>
    </row>
    <row hidden="1" r="541" s="64" spans="1:23">
      <c r="A541" s="1" t="n">
        <v>42417</v>
      </c>
      <c r="B541" s="25" t="n">
        <v>3406.87</v>
      </c>
      <c r="C541" s="1" t="n">
        <v>42783</v>
      </c>
      <c r="D541" s="25" t="n">
        <v>2875.68</v>
      </c>
      <c r="E541" s="25" t="n"/>
      <c r="F541" s="25" t="n"/>
      <c r="G541" s="28">
        <f>D541-B541</f>
        <v/>
      </c>
      <c r="H541" s="10">
        <f>(D541/B541)-1</f>
        <v/>
      </c>
      <c r="I541" s="7" t="n"/>
      <c r="J541" s="1" t="n">
        <v>42822</v>
      </c>
      <c r="K541" s="25" t="n">
        <v>2913.48</v>
      </c>
      <c r="L541" s="1" t="n">
        <v>43187</v>
      </c>
      <c r="M541" s="25" t="n">
        <v>2780.04</v>
      </c>
      <c r="N541" s="26">
        <f>M541-K541</f>
        <v/>
      </c>
      <c r="O541" s="7">
        <f>(M541/K541)-1</f>
        <v/>
      </c>
      <c r="P541" s="4" t="n"/>
    </row>
    <row hidden="1" r="542" s="64" spans="1:23">
      <c r="A542" s="1" t="n">
        <v>42418</v>
      </c>
      <c r="B542" s="25" t="n">
        <v>3391.87</v>
      </c>
      <c r="C542" s="1" t="n">
        <v>42784</v>
      </c>
      <c r="D542" s="25" t="n">
        <v>2902.81</v>
      </c>
      <c r="E542" s="25" t="n"/>
      <c r="F542" s="25" t="n"/>
      <c r="G542" s="28">
        <f>D542-B542</f>
        <v/>
      </c>
      <c r="H542" s="10">
        <f>(D542/B542)-1</f>
        <v/>
      </c>
      <c r="I542" s="7" t="n"/>
      <c r="J542" s="1" t="n">
        <v>42822</v>
      </c>
      <c r="K542" s="25" t="n">
        <v>2913.48</v>
      </c>
      <c r="L542" s="1" t="n">
        <v>43187</v>
      </c>
      <c r="M542" s="25" t="n">
        <v>2780.04</v>
      </c>
      <c r="N542" s="26">
        <f>M542-K542</f>
        <v/>
      </c>
      <c r="O542" s="7">
        <f>(M542/K542)-1</f>
        <v/>
      </c>
      <c r="P542" s="4" t="n"/>
    </row>
    <row hidden="1" r="543" s="64" spans="1:23">
      <c r="A543" s="1" t="n">
        <v>42419</v>
      </c>
      <c r="B543" s="25" t="n">
        <v>3338.03</v>
      </c>
      <c r="C543" s="1" t="n">
        <v>42785</v>
      </c>
      <c r="D543" s="25" t="n">
        <v>2902.81</v>
      </c>
      <c r="E543" s="25" t="n"/>
      <c r="F543" s="25" t="n"/>
      <c r="G543" s="28">
        <f>D543-B543</f>
        <v/>
      </c>
      <c r="H543" s="10">
        <f>(D543/B543)-1</f>
        <v/>
      </c>
      <c r="I543" s="7" t="n"/>
      <c r="J543" s="1" t="n">
        <v>42822</v>
      </c>
      <c r="K543" s="25" t="n">
        <v>2913.48</v>
      </c>
      <c r="L543" s="1" t="n">
        <v>43187</v>
      </c>
      <c r="M543" s="25" t="n">
        <v>2780.04</v>
      </c>
      <c r="N543" s="26">
        <f>M543-K543</f>
        <v/>
      </c>
      <c r="O543" s="7">
        <f>(M543/K543)-1</f>
        <v/>
      </c>
      <c r="P543" s="4" t="n"/>
    </row>
    <row hidden="1" r="544" s="64" spans="1:23">
      <c r="A544" s="1" t="n">
        <v>42420</v>
      </c>
      <c r="B544" s="25" t="n">
        <v>3356.78</v>
      </c>
      <c r="C544" s="1" t="n">
        <v>42786</v>
      </c>
      <c r="D544" s="25" t="n">
        <v>2902.81</v>
      </c>
      <c r="E544" s="25" t="n"/>
      <c r="F544" s="25" t="n"/>
      <c r="G544" s="28">
        <f>D544-B544</f>
        <v/>
      </c>
      <c r="H544" s="10">
        <f>(D544/B544)-1</f>
        <v/>
      </c>
      <c r="I544" s="7" t="n"/>
      <c r="J544" s="1" t="n">
        <v>42822</v>
      </c>
      <c r="K544" s="25" t="n">
        <v>2913.48</v>
      </c>
      <c r="L544" s="1" t="n">
        <v>43187</v>
      </c>
      <c r="M544" s="25" t="n">
        <v>2780.04</v>
      </c>
      <c r="N544" s="26">
        <f>M544-K544</f>
        <v/>
      </c>
      <c r="O544" s="7">
        <f>(M544/K544)-1</f>
        <v/>
      </c>
      <c r="P544" s="4" t="n"/>
    </row>
    <row hidden="1" r="545" s="64" spans="1:23">
      <c r="A545" s="1" t="n">
        <v>42421</v>
      </c>
      <c r="B545" s="25" t="n">
        <v>3356.78</v>
      </c>
      <c r="C545" s="1" t="n">
        <v>42787</v>
      </c>
      <c r="D545" s="25" t="n">
        <v>2902.81</v>
      </c>
      <c r="E545" s="25" t="n"/>
      <c r="F545" s="25" t="n"/>
      <c r="G545" s="28">
        <f>D545-B545</f>
        <v/>
      </c>
      <c r="H545" s="10">
        <f>(D545/B545)-1</f>
        <v/>
      </c>
      <c r="I545" s="7" t="n"/>
      <c r="J545" s="1" t="n">
        <v>42822</v>
      </c>
      <c r="K545" s="25" t="n">
        <v>2913.48</v>
      </c>
      <c r="L545" s="1" t="n">
        <v>43187</v>
      </c>
      <c r="M545" s="25" t="n">
        <v>2780.04</v>
      </c>
      <c r="N545" s="26">
        <f>M545-K545</f>
        <v/>
      </c>
      <c r="O545" s="7">
        <f>(M545/K545)-1</f>
        <v/>
      </c>
      <c r="P545" s="4" t="n"/>
    </row>
    <row hidden="1" r="546" s="64" spans="1:23">
      <c r="A546" s="1" t="n">
        <v>42422</v>
      </c>
      <c r="B546" s="25" t="n">
        <v>3356.78</v>
      </c>
      <c r="C546" s="1" t="n">
        <v>42788</v>
      </c>
      <c r="D546" s="25" t="n">
        <v>2902.68</v>
      </c>
      <c r="E546" s="25" t="n"/>
      <c r="F546" s="25" t="n"/>
      <c r="G546" s="28">
        <f>D546-B546</f>
        <v/>
      </c>
      <c r="H546" s="10">
        <f>(D546/B546)-1</f>
        <v/>
      </c>
      <c r="I546" s="7" t="n"/>
      <c r="J546" s="1" t="n">
        <v>42822</v>
      </c>
      <c r="K546" s="25" t="n">
        <v>2913.48</v>
      </c>
      <c r="L546" s="1" t="n">
        <v>43187</v>
      </c>
      <c r="M546" s="25" t="n">
        <v>2780.04</v>
      </c>
      <c r="N546" s="26">
        <f>M546-K546</f>
        <v/>
      </c>
      <c r="O546" s="7">
        <f>(M546/K546)-1</f>
        <v/>
      </c>
      <c r="P546" s="4" t="n"/>
    </row>
    <row hidden="1" r="547" s="64" spans="1:23">
      <c r="A547" s="1" t="n">
        <v>42423</v>
      </c>
      <c r="B547" s="25" t="n">
        <v>3314.24</v>
      </c>
      <c r="C547" s="1" t="n">
        <v>42789</v>
      </c>
      <c r="D547" s="25" t="n">
        <v>2893.55</v>
      </c>
      <c r="E547" s="25" t="n"/>
      <c r="F547" s="25" t="n"/>
      <c r="G547" s="28">
        <f>D547-B547</f>
        <v/>
      </c>
      <c r="H547" s="10">
        <f>(D547/B547)-1</f>
        <v/>
      </c>
      <c r="I547" s="7" t="n"/>
      <c r="J547" s="1" t="n">
        <v>42822</v>
      </c>
      <c r="K547" s="25" t="n">
        <v>2913.48</v>
      </c>
      <c r="L547" s="1" t="n">
        <v>43187</v>
      </c>
      <c r="M547" s="25" t="n">
        <v>2780.04</v>
      </c>
      <c r="N547" s="26">
        <f>M547-K547</f>
        <v/>
      </c>
      <c r="O547" s="7">
        <f>(M547/K547)-1</f>
        <v/>
      </c>
      <c r="P547" s="4" t="n"/>
    </row>
    <row hidden="1" r="548" s="64" spans="1:23">
      <c r="A548" s="1" t="n">
        <v>42424</v>
      </c>
      <c r="B548" s="25" t="n">
        <v>3322.54</v>
      </c>
      <c r="C548" s="1" t="n">
        <v>42790</v>
      </c>
      <c r="D548" s="25" t="n">
        <v>2871.67</v>
      </c>
      <c r="E548" s="25" t="n"/>
      <c r="F548" s="25" t="n"/>
      <c r="G548" s="28">
        <f>D548-B548</f>
        <v/>
      </c>
      <c r="H548" s="10">
        <f>(D548/B548)-1</f>
        <v/>
      </c>
      <c r="I548" s="7" t="n"/>
      <c r="J548" s="1" t="n">
        <v>42822</v>
      </c>
      <c r="K548" s="25" t="n">
        <v>2913.48</v>
      </c>
      <c r="L548" s="1" t="n">
        <v>43187</v>
      </c>
      <c r="M548" s="25" t="n">
        <v>2780.04</v>
      </c>
      <c r="N548" s="26">
        <f>M548-K548</f>
        <v/>
      </c>
      <c r="O548" s="7">
        <f>(M548/K548)-1</f>
        <v/>
      </c>
      <c r="P548" s="4" t="n"/>
    </row>
    <row hidden="1" r="549" s="64" spans="1:23">
      <c r="A549" s="1" t="n">
        <v>42425</v>
      </c>
      <c r="B549" s="25" t="n">
        <v>3341.69</v>
      </c>
      <c r="C549" s="1" t="n">
        <v>42791</v>
      </c>
      <c r="D549" s="25" t="n">
        <v>2886.52</v>
      </c>
      <c r="E549" s="25" t="n"/>
      <c r="F549" s="25" t="n"/>
      <c r="G549" s="28">
        <f>D549-B549</f>
        <v/>
      </c>
      <c r="H549" s="10">
        <f>(D549/B549)-1</f>
        <v/>
      </c>
      <c r="I549" s="7" t="n"/>
      <c r="J549" s="1" t="n">
        <v>42822</v>
      </c>
      <c r="K549" s="25" t="n">
        <v>2913.48</v>
      </c>
      <c r="L549" s="1" t="n">
        <v>43187</v>
      </c>
      <c r="M549" s="25" t="n">
        <v>2780.04</v>
      </c>
      <c r="N549" s="26">
        <f>M549-K549</f>
        <v/>
      </c>
      <c r="O549" s="7">
        <f>(M549/K549)-1</f>
        <v/>
      </c>
      <c r="P549" s="4" t="n"/>
    </row>
    <row hidden="1" r="550" s="64" spans="1:23">
      <c r="A550" s="1" t="n">
        <v>42426</v>
      </c>
      <c r="B550" s="25" t="n">
        <v>3310.16</v>
      </c>
      <c r="C550" s="1" t="n">
        <v>42792</v>
      </c>
      <c r="D550" s="25" t="n">
        <v>2886.52</v>
      </c>
      <c r="E550" s="25" t="n"/>
      <c r="F550" s="25" t="n"/>
      <c r="G550" s="28">
        <f>D550-B550</f>
        <v/>
      </c>
      <c r="H550" s="10">
        <f>(D550/B550)-1</f>
        <v/>
      </c>
      <c r="I550" s="7" t="n"/>
      <c r="J550" s="1" t="n">
        <v>42822</v>
      </c>
      <c r="K550" s="25" t="n">
        <v>2913.48</v>
      </c>
      <c r="L550" s="1" t="n">
        <v>43187</v>
      </c>
      <c r="M550" s="25" t="n">
        <v>2780.04</v>
      </c>
      <c r="N550" s="26">
        <f>M550-K550</f>
        <v/>
      </c>
      <c r="O550" s="7">
        <f>(M550/K550)-1</f>
        <v/>
      </c>
      <c r="P550" s="4" t="n"/>
    </row>
    <row hidden="1" r="551" s="64" spans="1:23">
      <c r="A551" s="1" t="n">
        <v>42427</v>
      </c>
      <c r="B551" s="25" t="n">
        <v>3306</v>
      </c>
      <c r="C551" s="1" t="n">
        <v>42793</v>
      </c>
      <c r="D551" s="25" t="n">
        <v>2886.52</v>
      </c>
      <c r="E551" s="25" t="n"/>
      <c r="F551" s="25" t="n"/>
      <c r="G551" s="28">
        <f>D551-B551</f>
        <v/>
      </c>
      <c r="H551" s="10">
        <f>(D551/B551)-1</f>
        <v/>
      </c>
      <c r="I551" s="7" t="n"/>
      <c r="J551" s="1" t="n">
        <v>42822</v>
      </c>
      <c r="K551" s="25" t="n">
        <v>2913.48</v>
      </c>
      <c r="L551" s="1" t="n">
        <v>43187</v>
      </c>
      <c r="M551" s="25" t="n">
        <v>2780.04</v>
      </c>
      <c r="N551" s="26">
        <f>M551-K551</f>
        <v/>
      </c>
      <c r="O551" s="7">
        <f>(M551/K551)-1</f>
        <v/>
      </c>
      <c r="P551" s="4" t="n"/>
    </row>
    <row hidden="1" r="552" s="64" spans="1:23">
      <c r="A552" s="1" t="n">
        <v>42428</v>
      </c>
      <c r="B552" s="25" t="n">
        <v>3306</v>
      </c>
      <c r="C552" s="1" t="n">
        <v>42794</v>
      </c>
      <c r="D552" s="25" t="n">
        <v>2896.27</v>
      </c>
      <c r="E552" s="25" t="n"/>
      <c r="F552" s="25" t="n"/>
      <c r="G552" s="28">
        <f>D552-B552</f>
        <v/>
      </c>
      <c r="H552" s="10">
        <f>(D552/B552)-1</f>
        <v/>
      </c>
      <c r="I552" s="7" t="n"/>
      <c r="J552" s="1" t="n">
        <v>42822</v>
      </c>
      <c r="K552" s="25" t="n">
        <v>2913.48</v>
      </c>
      <c r="L552" s="1" t="n">
        <v>43187</v>
      </c>
      <c r="M552" s="25" t="n">
        <v>2780.04</v>
      </c>
      <c r="N552" s="26">
        <f>M552-K552</f>
        <v/>
      </c>
      <c r="O552" s="7">
        <f>(M552/K552)-1</f>
        <v/>
      </c>
      <c r="P552" s="4" t="n"/>
    </row>
    <row hidden="1" r="553" s="64" spans="1:23">
      <c r="A553" s="1" t="n">
        <v>42430</v>
      </c>
      <c r="B553" s="25" t="n">
        <v>3319.8</v>
      </c>
      <c r="C553" s="1" t="n">
        <v>42795</v>
      </c>
      <c r="D553" s="25" t="n">
        <v>2919.17</v>
      </c>
      <c r="E553" s="25" t="n"/>
      <c r="F553" s="25" t="n"/>
      <c r="G553" s="28">
        <f>D553-B553</f>
        <v/>
      </c>
      <c r="H553" s="10">
        <f>(D553/B553)-1</f>
        <v/>
      </c>
      <c r="I553" s="7" t="n"/>
      <c r="J553" s="1" t="n">
        <v>42822</v>
      </c>
      <c r="K553" s="25" t="n">
        <v>2913.48</v>
      </c>
      <c r="L553" s="1" t="n">
        <v>43187</v>
      </c>
      <c r="M553" s="25" t="n">
        <v>2780.04</v>
      </c>
      <c r="N553" s="26">
        <f>M553-K553</f>
        <v/>
      </c>
      <c r="O553" s="7">
        <f>(M553/K553)-1</f>
        <v/>
      </c>
      <c r="P553" s="4" t="n"/>
    </row>
    <row hidden="1" r="554" s="64" spans="1:23">
      <c r="A554" s="1" t="n">
        <v>42431</v>
      </c>
      <c r="B554" s="25" t="n">
        <v>3268.86</v>
      </c>
      <c r="C554" s="1" t="n">
        <v>42796</v>
      </c>
      <c r="D554" s="25" t="n">
        <v>2935.75</v>
      </c>
      <c r="E554" s="25" t="n"/>
      <c r="F554" s="25" t="n"/>
      <c r="G554" s="28">
        <f>D554-B554</f>
        <v/>
      </c>
      <c r="H554" s="10">
        <f>(D554/B554)-1</f>
        <v/>
      </c>
      <c r="I554" s="7" t="n"/>
      <c r="J554" s="1" t="n">
        <v>42822</v>
      </c>
      <c r="K554" s="25" t="n">
        <v>2913.48</v>
      </c>
      <c r="L554" s="1" t="n">
        <v>43187</v>
      </c>
      <c r="M554" s="25" t="n">
        <v>2780.04</v>
      </c>
      <c r="N554" s="26">
        <f>M554-K554</f>
        <v/>
      </c>
      <c r="O554" s="7">
        <f>(M554/K554)-1</f>
        <v/>
      </c>
      <c r="P554" s="4" t="n"/>
    </row>
    <row hidden="1" r="555" s="64" spans="1:23">
      <c r="A555" s="1" t="n">
        <v>42432</v>
      </c>
      <c r="B555" s="25" t="n">
        <v>3205.6</v>
      </c>
      <c r="C555" s="1" t="n">
        <v>42797</v>
      </c>
      <c r="D555" s="25" t="n">
        <v>2960.91</v>
      </c>
      <c r="E555" s="25" t="n"/>
      <c r="F555" s="25" t="n"/>
      <c r="G555" s="28">
        <f>D555-B555</f>
        <v/>
      </c>
      <c r="H555" s="10">
        <f>(D555/B555)-1</f>
        <v/>
      </c>
      <c r="I555" s="7" t="n"/>
      <c r="J555" s="1" t="n">
        <v>42822</v>
      </c>
      <c r="K555" s="25" t="n">
        <v>2913.48</v>
      </c>
      <c r="L555" s="1" t="n">
        <v>43187</v>
      </c>
      <c r="M555" s="25" t="n">
        <v>2780.04</v>
      </c>
      <c r="N555" s="26">
        <f>M555-K555</f>
        <v/>
      </c>
      <c r="O555" s="7">
        <f>(M555/K555)-1</f>
        <v/>
      </c>
      <c r="P555" s="4" t="n"/>
    </row>
    <row hidden="1" r="556" s="64" spans="1:23">
      <c r="A556" s="1" t="n">
        <v>42433</v>
      </c>
      <c r="B556" s="25" t="n">
        <v>3203.03</v>
      </c>
      <c r="C556" s="1" t="n">
        <v>42798</v>
      </c>
      <c r="D556" s="25" t="n">
        <v>2977.43</v>
      </c>
      <c r="E556" s="25" t="n"/>
      <c r="F556" s="25" t="n"/>
      <c r="G556" s="28">
        <f>D556-B556</f>
        <v/>
      </c>
      <c r="H556" s="10">
        <f>(D556/B556)-1</f>
        <v/>
      </c>
      <c r="I556" s="7" t="n"/>
      <c r="J556" s="1" t="n">
        <v>42822</v>
      </c>
      <c r="K556" s="25" t="n">
        <v>2913.48</v>
      </c>
      <c r="L556" s="1" t="n">
        <v>43187</v>
      </c>
      <c r="M556" s="25" t="n">
        <v>2780.04</v>
      </c>
      <c r="N556" s="26">
        <f>M556-K556</f>
        <v/>
      </c>
      <c r="O556" s="7">
        <f>(M556/K556)-1</f>
        <v/>
      </c>
      <c r="P556" s="4" t="n"/>
    </row>
    <row hidden="1" r="557" s="64" spans="1:23">
      <c r="A557" s="1" t="n">
        <v>42434</v>
      </c>
      <c r="B557" s="25" t="n">
        <v>3163.25</v>
      </c>
      <c r="C557" s="1" t="n">
        <v>42799</v>
      </c>
      <c r="D557" s="25" t="n">
        <v>2977.43</v>
      </c>
      <c r="E557" s="25" t="n"/>
      <c r="F557" s="25" t="n"/>
      <c r="G557" s="28">
        <f>D557-B557</f>
        <v/>
      </c>
      <c r="H557" s="10">
        <f>(D557/B557)-1</f>
        <v/>
      </c>
      <c r="I557" s="7" t="n"/>
      <c r="J557" s="1" t="n">
        <v>42822</v>
      </c>
      <c r="K557" s="25" t="n">
        <v>2913.48</v>
      </c>
      <c r="L557" s="1" t="n">
        <v>43187</v>
      </c>
      <c r="M557" s="25" t="n">
        <v>2780.04</v>
      </c>
      <c r="N557" s="26">
        <f>M557-K557</f>
        <v/>
      </c>
      <c r="O557" s="7">
        <f>(M557/K557)-1</f>
        <v/>
      </c>
      <c r="P557" s="4" t="n"/>
    </row>
    <row hidden="1" r="558" s="64" spans="1:23">
      <c r="A558" s="1" t="n">
        <v>42435</v>
      </c>
      <c r="B558" s="25" t="n">
        <v>3163.25</v>
      </c>
      <c r="C558" s="1" t="n">
        <v>42800</v>
      </c>
      <c r="D558" s="25" t="n">
        <v>2977.43</v>
      </c>
      <c r="E558" s="25" t="n"/>
      <c r="F558" s="25" t="n"/>
      <c r="G558" s="28">
        <f>D558-B558</f>
        <v/>
      </c>
      <c r="H558" s="10">
        <f>(D558/B558)-1</f>
        <v/>
      </c>
      <c r="I558" s="7" t="n"/>
      <c r="J558" s="1" t="n">
        <v>42822</v>
      </c>
      <c r="K558" s="25" t="n">
        <v>2913.48</v>
      </c>
      <c r="L558" s="1" t="n">
        <v>43187</v>
      </c>
      <c r="M558" s="25" t="n">
        <v>2780.04</v>
      </c>
      <c r="N558" s="26">
        <f>M558-K558</f>
        <v/>
      </c>
      <c r="O558" s="7">
        <f>(M558/K558)-1</f>
        <v/>
      </c>
      <c r="P558" s="4" t="n"/>
    </row>
    <row hidden="1" r="559" s="64" spans="1:23">
      <c r="A559" s="1" t="n">
        <v>42436</v>
      </c>
      <c r="B559" s="25" t="n">
        <v>3163.25</v>
      </c>
      <c r="C559" s="1" t="n">
        <v>42801</v>
      </c>
      <c r="D559" s="25" t="n">
        <v>2966.67</v>
      </c>
      <c r="E559" s="25" t="n"/>
      <c r="F559" s="25" t="n"/>
      <c r="G559" s="28">
        <f>D559-B559</f>
        <v/>
      </c>
      <c r="H559" s="10">
        <f>(D559/B559)-1</f>
        <v/>
      </c>
      <c r="I559" s="7" t="n"/>
      <c r="J559" s="1" t="n">
        <v>42822</v>
      </c>
      <c r="K559" s="25" t="n">
        <v>2913.48</v>
      </c>
      <c r="L559" s="1" t="n">
        <v>43187</v>
      </c>
      <c r="M559" s="25" t="n">
        <v>2780.04</v>
      </c>
      <c r="N559" s="26">
        <f>M559-K559</f>
        <v/>
      </c>
      <c r="O559" s="7">
        <f>(M559/K559)-1</f>
        <v/>
      </c>
      <c r="P559" s="4" t="n"/>
    </row>
    <row hidden="1" r="560" s="64" spans="1:23">
      <c r="A560" s="1" t="n">
        <v>42437</v>
      </c>
      <c r="B560" s="25" t="n">
        <v>3135.28</v>
      </c>
      <c r="C560" s="1" t="n">
        <v>42802</v>
      </c>
      <c r="D560" s="25" t="n">
        <v>2972.44</v>
      </c>
      <c r="E560" s="25" t="n"/>
      <c r="F560" s="25" t="n"/>
      <c r="G560" s="28">
        <f>D560-B560</f>
        <v/>
      </c>
      <c r="H560" s="10">
        <f>(D560/B560)-1</f>
        <v/>
      </c>
      <c r="I560" s="7" t="n"/>
      <c r="J560" s="1" t="n">
        <v>42822</v>
      </c>
      <c r="K560" s="25" t="n">
        <v>2913.48</v>
      </c>
      <c r="L560" s="1" t="n">
        <v>43187</v>
      </c>
      <c r="M560" s="25" t="n">
        <v>2780.04</v>
      </c>
      <c r="N560" s="26">
        <f>M560-K560</f>
        <v/>
      </c>
      <c r="O560" s="7">
        <f>(M560/K560)-1</f>
        <v/>
      </c>
      <c r="P560" s="4" t="n"/>
    </row>
    <row hidden="1" r="561" s="64" spans="1:23">
      <c r="A561" s="1" t="n">
        <v>42438</v>
      </c>
      <c r="B561" s="25" t="n">
        <v>3155.9</v>
      </c>
      <c r="C561" s="1" t="n">
        <v>42803</v>
      </c>
      <c r="D561" s="25" t="n">
        <v>2987.88</v>
      </c>
      <c r="E561" s="25" t="n"/>
      <c r="F561" s="25" t="n"/>
      <c r="G561" s="28">
        <f>D561-B561</f>
        <v/>
      </c>
      <c r="H561" s="10">
        <f>(D561/B561)-1</f>
        <v/>
      </c>
      <c r="I561" s="7" t="n"/>
      <c r="J561" s="1" t="n">
        <v>42822</v>
      </c>
      <c r="K561" s="25" t="n">
        <v>2913.48</v>
      </c>
      <c r="L561" s="1" t="n">
        <v>43187</v>
      </c>
      <c r="M561" s="25" t="n">
        <v>2780.04</v>
      </c>
      <c r="N561" s="26">
        <f>M561-K561</f>
        <v/>
      </c>
      <c r="O561" s="7">
        <f>(M561/K561)-1</f>
        <v/>
      </c>
      <c r="P561" s="4" t="n"/>
    </row>
    <row hidden="1" r="562" s="64" spans="1:23">
      <c r="A562" s="1" t="n">
        <v>42439</v>
      </c>
      <c r="B562" s="25" t="n">
        <v>3192.49</v>
      </c>
      <c r="C562" s="1" t="n">
        <v>42804</v>
      </c>
      <c r="D562" s="25" t="n">
        <v>3004.43</v>
      </c>
      <c r="E562" s="25" t="n"/>
      <c r="F562" s="25" t="n"/>
      <c r="G562" s="28">
        <f>D562-B562</f>
        <v/>
      </c>
      <c r="H562" s="10">
        <f>(D562/B562)-1</f>
        <v/>
      </c>
      <c r="I562" s="7" t="n"/>
      <c r="J562" s="1" t="n">
        <v>42822</v>
      </c>
      <c r="K562" s="25" t="n">
        <v>2913.48</v>
      </c>
      <c r="L562" s="1" t="n">
        <v>43187</v>
      </c>
      <c r="M562" s="25" t="n">
        <v>2780.04</v>
      </c>
      <c r="N562" s="26">
        <f>M562-K562</f>
        <v/>
      </c>
      <c r="O562" s="7">
        <f>(M562/K562)-1</f>
        <v/>
      </c>
      <c r="P562" s="4" t="n"/>
    </row>
    <row hidden="1" r="563" s="64" spans="1:23">
      <c r="A563" s="1" t="n">
        <v>42440</v>
      </c>
      <c r="B563" s="25" t="n">
        <v>3204.27</v>
      </c>
      <c r="C563" s="1" t="n">
        <v>42805</v>
      </c>
      <c r="D563" s="25" t="n">
        <v>2980.83</v>
      </c>
      <c r="E563" s="25" t="n"/>
      <c r="F563" s="25" t="n"/>
      <c r="G563" s="28">
        <f>D563-B563</f>
        <v/>
      </c>
      <c r="H563" s="10">
        <f>(D563/B563)-1</f>
        <v/>
      </c>
      <c r="I563" s="7" t="n"/>
      <c r="J563" s="1" t="n">
        <v>42822</v>
      </c>
      <c r="K563" s="25" t="n">
        <v>2913.48</v>
      </c>
      <c r="L563" s="1" t="n">
        <v>43187</v>
      </c>
      <c r="M563" s="25" t="n">
        <v>2780.04</v>
      </c>
      <c r="N563" s="26">
        <f>M563-K563</f>
        <v/>
      </c>
      <c r="O563" s="7">
        <f>(M563/K563)-1</f>
        <v/>
      </c>
      <c r="P563" s="4" t="n"/>
    </row>
    <row hidden="1" r="564" s="64" spans="1:23">
      <c r="A564" s="1" t="n">
        <v>42441</v>
      </c>
      <c r="B564" s="25" t="n">
        <v>3164.12</v>
      </c>
      <c r="C564" s="1" t="n">
        <v>42806</v>
      </c>
      <c r="D564" s="25" t="n">
        <v>2980.83</v>
      </c>
      <c r="E564" s="25" t="n"/>
      <c r="F564" s="25" t="n"/>
      <c r="G564" s="28">
        <f>D564-B564</f>
        <v/>
      </c>
      <c r="H564" s="10">
        <f>(D564/B564)-1</f>
        <v/>
      </c>
      <c r="I564" s="7" t="n"/>
      <c r="J564" s="1" t="n">
        <v>42822</v>
      </c>
      <c r="K564" s="25" t="n">
        <v>2913.48</v>
      </c>
      <c r="L564" s="1" t="n">
        <v>43187</v>
      </c>
      <c r="M564" s="25" t="n">
        <v>2780.04</v>
      </c>
      <c r="N564" s="26">
        <f>M564-K564</f>
        <v/>
      </c>
      <c r="O564" s="7">
        <f>(M564/K564)-1</f>
        <v/>
      </c>
      <c r="P564" s="4" t="n"/>
    </row>
    <row hidden="1" r="565" s="64" spans="1:23">
      <c r="A565" s="1" t="n">
        <v>42442</v>
      </c>
      <c r="B565" s="25" t="n">
        <v>3164.12</v>
      </c>
      <c r="C565" s="1" t="n">
        <v>42807</v>
      </c>
      <c r="D565" s="25" t="n">
        <v>2980.83</v>
      </c>
      <c r="E565" s="25" t="n"/>
      <c r="F565" s="25" t="n"/>
      <c r="G565" s="28">
        <f>D565-B565</f>
        <v/>
      </c>
      <c r="H565" s="10">
        <f>(D565/B565)-1</f>
        <v/>
      </c>
      <c r="I565" s="7" t="n"/>
      <c r="J565" s="1" t="n">
        <v>42822</v>
      </c>
      <c r="K565" s="25" t="n">
        <v>2913.48</v>
      </c>
      <c r="L565" s="1" t="n">
        <v>43187</v>
      </c>
      <c r="M565" s="25" t="n">
        <v>2780.04</v>
      </c>
      <c r="N565" s="26">
        <f>M565-K565</f>
        <v/>
      </c>
      <c r="O565" s="7">
        <f>(M565/K565)-1</f>
        <v/>
      </c>
      <c r="P565" s="4" t="n"/>
    </row>
    <row hidden="1" r="566" s="64" spans="1:23">
      <c r="A566" s="1" t="n">
        <v>42443</v>
      </c>
      <c r="B566" s="25" t="n">
        <v>3164.12</v>
      </c>
      <c r="C566" s="1" t="n">
        <v>42808</v>
      </c>
      <c r="D566" s="25" t="n">
        <v>2987.93</v>
      </c>
      <c r="E566" s="25" t="n"/>
      <c r="F566" s="25" t="n"/>
      <c r="G566" s="28">
        <f>D566-B566</f>
        <v/>
      </c>
      <c r="H566" s="10">
        <f>(D566/B566)-1</f>
        <v/>
      </c>
      <c r="I566" s="7" t="n"/>
      <c r="J566" s="1" t="n">
        <v>42822</v>
      </c>
      <c r="K566" s="25" t="n">
        <v>2913.48</v>
      </c>
      <c r="L566" s="1" t="n">
        <v>43187</v>
      </c>
      <c r="M566" s="25" t="n">
        <v>2780.04</v>
      </c>
      <c r="N566" s="26">
        <f>M566-K566</f>
        <v/>
      </c>
      <c r="O566" s="7">
        <f>(M566/K566)-1</f>
        <v/>
      </c>
      <c r="P566" s="4" t="n"/>
    </row>
    <row hidden="1" r="567" s="64" spans="1:23">
      <c r="A567" s="1" t="n">
        <v>42444</v>
      </c>
      <c r="B567" s="25" t="n">
        <v>3175.95</v>
      </c>
      <c r="C567" s="1" t="n">
        <v>42809</v>
      </c>
      <c r="D567" s="25" t="n">
        <v>2997.73</v>
      </c>
      <c r="E567" s="25" t="n"/>
      <c r="F567" s="25" t="n"/>
      <c r="G567" s="28">
        <f>D567-B567</f>
        <v/>
      </c>
      <c r="H567" s="10">
        <f>(D567/B567)-1</f>
        <v/>
      </c>
      <c r="I567" s="7" t="n"/>
      <c r="J567" s="1" t="n">
        <v>42822</v>
      </c>
      <c r="K567" s="25" t="n">
        <v>2913.48</v>
      </c>
      <c r="L567" s="1" t="n">
        <v>43187</v>
      </c>
      <c r="M567" s="25" t="n">
        <v>2780.04</v>
      </c>
      <c r="N567" s="26">
        <f>M567-K567</f>
        <v/>
      </c>
      <c r="O567" s="7">
        <f>(M567/K567)-1</f>
        <v/>
      </c>
      <c r="P567" s="4" t="n"/>
    </row>
    <row hidden="1" r="568" s="64" spans="1:23">
      <c r="A568" s="1" t="n">
        <v>42445</v>
      </c>
      <c r="B568" s="25" t="n">
        <v>3175.88</v>
      </c>
      <c r="C568" s="1" t="n">
        <v>42810</v>
      </c>
      <c r="D568" s="25" t="n">
        <v>2972.61</v>
      </c>
      <c r="E568" s="25" t="n"/>
      <c r="F568" s="25" t="n"/>
      <c r="G568" s="28">
        <f>D568-B568</f>
        <v/>
      </c>
      <c r="H568" s="10">
        <f>(D568/B568)-1</f>
        <v/>
      </c>
      <c r="I568" s="7" t="n"/>
      <c r="J568" s="1" t="n">
        <v>42822</v>
      </c>
      <c r="K568" s="25" t="n">
        <v>2913.48</v>
      </c>
      <c r="L568" s="1" t="n">
        <v>43187</v>
      </c>
      <c r="M568" s="25" t="n">
        <v>2780.04</v>
      </c>
      <c r="N568" s="26">
        <f>M568-K568</f>
        <v/>
      </c>
      <c r="O568" s="7">
        <f>(M568/K568)-1</f>
        <v/>
      </c>
      <c r="P568" s="4" t="n"/>
    </row>
    <row hidden="1" r="569" s="64" spans="1:23">
      <c r="A569" s="1" t="n">
        <v>42446</v>
      </c>
      <c r="B569" s="25" t="n">
        <v>3155.9</v>
      </c>
      <c r="C569" s="1" t="n">
        <v>42811</v>
      </c>
      <c r="D569" s="25" t="n">
        <v>2923.96</v>
      </c>
      <c r="E569" s="25" t="n"/>
      <c r="F569" s="25" t="n"/>
      <c r="G569" s="28">
        <f>D569-B569</f>
        <v/>
      </c>
      <c r="H569" s="10">
        <f>(D569/B569)-1</f>
        <v/>
      </c>
      <c r="I569" s="7" t="n"/>
      <c r="J569" s="1" t="n">
        <v>42822</v>
      </c>
      <c r="K569" s="25" t="n">
        <v>2913.48</v>
      </c>
      <c r="L569" s="1" t="n">
        <v>43187</v>
      </c>
      <c r="M569" s="25" t="n">
        <v>2780.04</v>
      </c>
      <c r="N569" s="26">
        <f>M569-K569</f>
        <v/>
      </c>
      <c r="O569" s="7">
        <f>(M569/K569)-1</f>
        <v/>
      </c>
      <c r="P569" s="4" t="n"/>
    </row>
    <row hidden="1" r="570" s="64" spans="1:23">
      <c r="A570" s="1" t="n">
        <v>42447</v>
      </c>
      <c r="B570" s="25" t="n">
        <v>3087.39</v>
      </c>
      <c r="C570" s="1" t="n">
        <v>42812</v>
      </c>
      <c r="D570" s="25" t="n">
        <v>2912.53</v>
      </c>
      <c r="E570" s="25" t="n"/>
      <c r="F570" s="25" t="n"/>
      <c r="G570" s="28">
        <f>D570-B570</f>
        <v/>
      </c>
      <c r="H570" s="10">
        <f>(D570/B570)-1</f>
        <v/>
      </c>
      <c r="I570" s="7" t="n"/>
      <c r="J570" s="1" t="n">
        <v>42822</v>
      </c>
      <c r="K570" s="25" t="n">
        <v>2913.48</v>
      </c>
      <c r="L570" s="1" t="n">
        <v>43187</v>
      </c>
      <c r="M570" s="25" t="n">
        <v>2780.04</v>
      </c>
      <c r="N570" s="26">
        <f>M570-K570</f>
        <v/>
      </c>
      <c r="O570" s="7">
        <f>(M570/K570)-1</f>
        <v/>
      </c>
      <c r="P570" s="4" t="n"/>
    </row>
    <row hidden="1" r="571" s="64" spans="1:23">
      <c r="A571" s="1" t="n">
        <v>42448</v>
      </c>
      <c r="B571" s="25" t="n">
        <v>3065.79</v>
      </c>
      <c r="C571" s="1" t="n">
        <v>42813</v>
      </c>
      <c r="D571" s="25" t="n">
        <v>2912.53</v>
      </c>
      <c r="E571" s="25" t="n"/>
      <c r="F571" s="25" t="n"/>
      <c r="G571" s="28">
        <f>D571-B571</f>
        <v/>
      </c>
      <c r="H571" s="10">
        <f>(D571/B571)-1</f>
        <v/>
      </c>
      <c r="I571" s="7" t="n"/>
      <c r="J571" s="1" t="n">
        <v>42822</v>
      </c>
      <c r="K571" s="25" t="n">
        <v>2913.48</v>
      </c>
      <c r="L571" s="1" t="n">
        <v>43187</v>
      </c>
      <c r="M571" s="25" t="n">
        <v>2780.04</v>
      </c>
      <c r="N571" s="26">
        <f>M571-K571</f>
        <v/>
      </c>
      <c r="O571" s="7">
        <f>(M571/K571)-1</f>
        <v/>
      </c>
      <c r="P571" s="4" t="n"/>
    </row>
    <row hidden="1" r="572" s="64" spans="1:23">
      <c r="A572" s="1" t="n">
        <v>42449</v>
      </c>
      <c r="B572" s="25" t="n">
        <v>3065.79</v>
      </c>
      <c r="C572" s="1" t="n">
        <v>42814</v>
      </c>
      <c r="D572" s="25" t="n">
        <v>2912.53</v>
      </c>
      <c r="E572" s="25" t="n"/>
      <c r="F572" s="25" t="n"/>
      <c r="G572" s="28">
        <f>D572-B572</f>
        <v/>
      </c>
      <c r="H572" s="10">
        <f>(D572/B572)-1</f>
        <v/>
      </c>
      <c r="I572" s="7" t="n"/>
      <c r="J572" s="1" t="n">
        <v>42822</v>
      </c>
      <c r="K572" s="25" t="n">
        <v>2913.48</v>
      </c>
      <c r="L572" s="1" t="n">
        <v>43187</v>
      </c>
      <c r="M572" s="25" t="n">
        <v>2780.04</v>
      </c>
      <c r="N572" s="26">
        <f>M572-K572</f>
        <v/>
      </c>
      <c r="O572" s="7">
        <f>(M572/K572)-1</f>
        <v/>
      </c>
      <c r="P572" s="4" t="n"/>
    </row>
    <row hidden="1" r="573" s="64" spans="1:23">
      <c r="A573" s="1" t="n">
        <v>42450</v>
      </c>
      <c r="B573" s="25" t="n">
        <v>3065.79</v>
      </c>
      <c r="C573" s="1" t="n">
        <v>42815</v>
      </c>
      <c r="D573" s="25" t="n">
        <v>2912.53</v>
      </c>
      <c r="E573" s="25" t="n"/>
      <c r="F573" s="25" t="n"/>
      <c r="G573" s="28">
        <f>D573-B573</f>
        <v/>
      </c>
      <c r="H573" s="10">
        <f>(D573/B573)-1</f>
        <v/>
      </c>
      <c r="I573" s="7" t="n"/>
      <c r="J573" s="1" t="n">
        <v>42822</v>
      </c>
      <c r="K573" s="25" t="n">
        <v>2913.48</v>
      </c>
      <c r="L573" s="1" t="n">
        <v>43187</v>
      </c>
      <c r="M573" s="25" t="n">
        <v>2780.04</v>
      </c>
      <c r="N573" s="26">
        <f>M573-K573</f>
        <v/>
      </c>
      <c r="O573" s="7">
        <f>(M573/K573)-1</f>
        <v/>
      </c>
      <c r="P573" s="4" t="n"/>
    </row>
    <row hidden="1" r="574" s="64" spans="1:23">
      <c r="A574" s="1" t="n">
        <v>42451</v>
      </c>
      <c r="B574" s="25" t="n">
        <v>3065.79</v>
      </c>
      <c r="C574" s="1" t="n">
        <v>42816</v>
      </c>
      <c r="D574" s="25" t="n">
        <v>2904.87</v>
      </c>
      <c r="E574" s="25" t="n"/>
      <c r="F574" s="25" t="n"/>
      <c r="G574" s="28">
        <f>D574-B574</f>
        <v/>
      </c>
      <c r="H574" s="10">
        <f>(D574/B574)-1</f>
        <v/>
      </c>
      <c r="I574" s="7" t="n"/>
      <c r="J574" s="1" t="n">
        <v>42822</v>
      </c>
      <c r="K574" s="25" t="n">
        <v>2913.48</v>
      </c>
      <c r="L574" s="1" t="n">
        <v>43187</v>
      </c>
      <c r="M574" s="25" t="n">
        <v>2780.04</v>
      </c>
      <c r="N574" s="26">
        <f>M574-K574</f>
        <v/>
      </c>
      <c r="O574" s="7">
        <f>(M574/K574)-1</f>
        <v/>
      </c>
      <c r="P574" s="4" t="n"/>
    </row>
    <row hidden="1" r="575" s="64" spans="1:23">
      <c r="A575" s="1" t="n">
        <v>42452</v>
      </c>
      <c r="B575" s="25" t="n">
        <v>3050.31</v>
      </c>
      <c r="C575" s="1" t="n">
        <v>42817</v>
      </c>
      <c r="D575" s="25" t="n">
        <v>2936.82</v>
      </c>
      <c r="E575" s="25" t="n"/>
      <c r="F575" s="25" t="n"/>
      <c r="G575" s="28">
        <f>D575-B575</f>
        <v/>
      </c>
      <c r="H575" s="10">
        <f>(D575/B575)-1</f>
        <v/>
      </c>
      <c r="I575" s="7" t="n"/>
      <c r="J575" s="1" t="n">
        <v>42822</v>
      </c>
      <c r="K575" s="25" t="n">
        <v>2913.48</v>
      </c>
      <c r="L575" s="1" t="n">
        <v>43187</v>
      </c>
      <c r="M575" s="25" t="n">
        <v>2780.04</v>
      </c>
      <c r="N575" s="26">
        <f>M575-K575</f>
        <v/>
      </c>
      <c r="O575" s="7">
        <f>(M575/K575)-1</f>
        <v/>
      </c>
      <c r="P575" s="4" t="n"/>
    </row>
    <row hidden="1" r="576" s="64" spans="1:23">
      <c r="A576" s="1" t="n">
        <v>42453</v>
      </c>
      <c r="B576" s="25" t="n">
        <v>3058.8</v>
      </c>
      <c r="C576" s="1" t="n">
        <v>42818</v>
      </c>
      <c r="D576" s="25" t="n">
        <v>2921.25</v>
      </c>
      <c r="E576" s="25" t="n"/>
      <c r="F576" s="25" t="n"/>
      <c r="G576" s="28">
        <f>D576-B576</f>
        <v/>
      </c>
      <c r="H576" s="10">
        <f>(D576/B576)-1</f>
        <v/>
      </c>
      <c r="I576" s="7" t="n"/>
      <c r="J576" s="1" t="n">
        <v>42822</v>
      </c>
      <c r="K576" s="25" t="n">
        <v>2913.48</v>
      </c>
      <c r="L576" s="1" t="n">
        <v>43187</v>
      </c>
      <c r="M576" s="25" t="n">
        <v>2780.04</v>
      </c>
      <c r="N576" s="26">
        <f>M576-K576</f>
        <v/>
      </c>
      <c r="O576" s="7">
        <f>(M576/K576)-1</f>
        <v/>
      </c>
      <c r="P576" s="4" t="n"/>
    </row>
    <row hidden="1" r="577" s="64" spans="1:23">
      <c r="A577" s="1" t="n">
        <v>42454</v>
      </c>
      <c r="B577" s="25" t="n">
        <v>3058.8</v>
      </c>
      <c r="C577" s="1" t="n">
        <v>42819</v>
      </c>
      <c r="D577" s="25" t="n">
        <v>2899.94</v>
      </c>
      <c r="E577" s="25" t="n"/>
      <c r="F577" s="25" t="n"/>
      <c r="G577" s="28">
        <f>D577-B577</f>
        <v/>
      </c>
      <c r="H577" s="10">
        <f>(D577/B577)-1</f>
        <v/>
      </c>
      <c r="I577" s="7" t="n"/>
      <c r="J577" s="1" t="n">
        <v>42822</v>
      </c>
      <c r="K577" s="25" t="n">
        <v>2913.48</v>
      </c>
      <c r="L577" s="1" t="n">
        <v>43187</v>
      </c>
      <c r="M577" s="25" t="n">
        <v>2780.04</v>
      </c>
      <c r="N577" s="26">
        <f>M577-K577</f>
        <v/>
      </c>
      <c r="O577" s="7">
        <f>(M577/K577)-1</f>
        <v/>
      </c>
      <c r="P577" s="4" t="n"/>
    </row>
    <row hidden="1" r="578" s="64" spans="1:23">
      <c r="A578" s="1" t="n">
        <v>42455</v>
      </c>
      <c r="B578" s="25" t="n">
        <v>3058.8</v>
      </c>
      <c r="C578" s="1" t="n">
        <v>42820</v>
      </c>
      <c r="D578" s="25" t="n">
        <v>2899.94</v>
      </c>
      <c r="E578" s="25" t="n"/>
      <c r="F578" s="25" t="n"/>
      <c r="G578" s="28">
        <f>D578-B578</f>
        <v/>
      </c>
      <c r="H578" s="10">
        <f>(D578/B578)-1</f>
        <v/>
      </c>
      <c r="I578" s="7" t="n"/>
      <c r="J578" s="1" t="n">
        <v>42822</v>
      </c>
      <c r="K578" s="25" t="n">
        <v>2913.48</v>
      </c>
      <c r="L578" s="1" t="n">
        <v>43187</v>
      </c>
      <c r="M578" s="25" t="n">
        <v>2780.04</v>
      </c>
      <c r="N578" s="26">
        <f>M578-K578</f>
        <v/>
      </c>
      <c r="O578" s="7">
        <f>(M578/K578)-1</f>
        <v/>
      </c>
      <c r="P578" s="4" t="n"/>
    </row>
    <row hidden="1" r="579" s="64" spans="1:23">
      <c r="A579" s="1" t="n">
        <v>42456</v>
      </c>
      <c r="B579" s="25" t="n">
        <v>3058.8</v>
      </c>
      <c r="C579" s="1" t="n">
        <v>42821</v>
      </c>
      <c r="D579" s="25" t="n">
        <v>2899.94</v>
      </c>
      <c r="E579" s="25" t="n"/>
      <c r="F579" s="25" t="n"/>
      <c r="G579" s="28">
        <f>D579-B579</f>
        <v/>
      </c>
      <c r="H579" s="10">
        <f>(D579/B579)-1</f>
        <v/>
      </c>
      <c r="I579" s="7" t="n"/>
      <c r="J579" s="1" t="n">
        <v>42822</v>
      </c>
      <c r="K579" s="25" t="n">
        <v>2913.48</v>
      </c>
      <c r="L579" s="1" t="n">
        <v>43187</v>
      </c>
      <c r="M579" s="25" t="n">
        <v>2780.04</v>
      </c>
      <c r="N579" s="26">
        <f>M579-K579</f>
        <v/>
      </c>
      <c r="O579" s="7">
        <f>(M579/K579)-1</f>
        <v/>
      </c>
      <c r="P579" s="4" t="n"/>
    </row>
    <row hidden="1" r="580" s="64" spans="1:23">
      <c r="A580" s="1" t="n">
        <v>42457</v>
      </c>
      <c r="B580" s="25" t="n">
        <v>3058.8</v>
      </c>
      <c r="C580" s="1" t="n">
        <v>42822</v>
      </c>
      <c r="D580" s="25" t="n">
        <v>2913.48</v>
      </c>
      <c r="E580" s="25" t="n"/>
      <c r="F580" s="25" t="n"/>
      <c r="G580" s="28">
        <f>D580-B580</f>
        <v/>
      </c>
      <c r="H580" s="10">
        <f>(D580/B580)-1</f>
        <v/>
      </c>
      <c r="I580" s="7" t="n"/>
      <c r="J580" s="1" t="n">
        <v>42822</v>
      </c>
      <c r="K580" s="25" t="n">
        <v>2913.48</v>
      </c>
      <c r="L580" s="1" t="n">
        <v>43187</v>
      </c>
      <c r="M580" s="25" t="n">
        <v>2780.04</v>
      </c>
      <c r="N580" s="26">
        <f>M580-K580</f>
        <v/>
      </c>
      <c r="O580" s="7">
        <f>(M580/K580)-1</f>
        <v/>
      </c>
      <c r="P580" s="4" t="n"/>
    </row>
    <row hidden="1" r="581" s="64" spans="1:23">
      <c r="A581" s="1" t="n">
        <v>42458</v>
      </c>
      <c r="B581" s="25" t="n">
        <v>3047.85</v>
      </c>
      <c r="C581" s="1" t="n">
        <v>42823</v>
      </c>
      <c r="D581" s="25" t="n">
        <v>2911.99</v>
      </c>
      <c r="E581" s="25" t="n"/>
      <c r="F581" s="25" t="n"/>
      <c r="G581" s="28">
        <f>D581-B581</f>
        <v/>
      </c>
      <c r="H581" s="10">
        <f>(D581/B581)-1</f>
        <v/>
      </c>
      <c r="I581" s="7" t="n"/>
      <c r="J581" s="1" t="n">
        <v>42822</v>
      </c>
      <c r="K581" s="25" t="n">
        <v>2913.48</v>
      </c>
      <c r="L581" s="1" t="n">
        <v>43187</v>
      </c>
      <c r="M581" s="25" t="n">
        <v>2780.04</v>
      </c>
      <c r="N581" s="26">
        <f>M581-K581</f>
        <v/>
      </c>
      <c r="O581" s="7">
        <f>(M581/K581)-1</f>
        <v/>
      </c>
      <c r="P581" s="4" t="n"/>
    </row>
    <row hidden="1" r="582" s="64" spans="1:23">
      <c r="A582" s="1" t="n">
        <v>42459</v>
      </c>
      <c r="B582" s="25" t="n">
        <v>3052.33</v>
      </c>
      <c r="C582" s="1" t="n">
        <v>42824</v>
      </c>
      <c r="D582" s="25" t="n">
        <v>2888.02</v>
      </c>
      <c r="E582" s="25" t="n"/>
      <c r="F582" s="25" t="n"/>
      <c r="G582" s="28">
        <f>D582-B582</f>
        <v/>
      </c>
      <c r="H582" s="10">
        <f>(D582/B582)-1</f>
        <v/>
      </c>
      <c r="I582" s="7" t="n"/>
      <c r="J582" s="1" t="n">
        <v>42822</v>
      </c>
      <c r="K582" s="25" t="n">
        <v>2913.48</v>
      </c>
      <c r="L582" s="1" t="n">
        <v>43187</v>
      </c>
      <c r="M582" s="25" t="n">
        <v>2780.04</v>
      </c>
      <c r="N582" s="26">
        <f>M582-K582</f>
        <v/>
      </c>
      <c r="O582" s="7">
        <f>(M582/K582)-1</f>
        <v/>
      </c>
      <c r="P582" s="4" t="n"/>
    </row>
    <row hidden="1" r="583" s="64" spans="1:23">
      <c r="A583" s="1" t="n">
        <v>42460</v>
      </c>
      <c r="B583" s="25" t="n">
        <v>3022.35</v>
      </c>
      <c r="C583" s="1" t="n">
        <v>42825</v>
      </c>
      <c r="D583" s="25" t="n">
        <v>2880.24</v>
      </c>
      <c r="E583" s="25" t="n"/>
      <c r="F583" s="25" t="n"/>
      <c r="G583" s="28">
        <f>D583-B583</f>
        <v/>
      </c>
      <c r="H583" s="10">
        <f>(D583/B583)-1</f>
        <v/>
      </c>
      <c r="I583" s="7" t="n"/>
      <c r="J583" s="1" t="n">
        <v>42822</v>
      </c>
      <c r="K583" s="25" t="n">
        <v>2913.48</v>
      </c>
      <c r="L583" s="1" t="n">
        <v>43187</v>
      </c>
      <c r="M583" s="25" t="n">
        <v>2780.04</v>
      </c>
      <c r="N583" s="26">
        <f>M583-K583</f>
        <v/>
      </c>
      <c r="O583" s="7">
        <f>(M583/K583)-1</f>
        <v/>
      </c>
      <c r="P583" s="4" t="n"/>
    </row>
    <row hidden="1" r="584" s="64" spans="1:23">
      <c r="A584" s="1" t="n">
        <v>42461</v>
      </c>
      <c r="B584" s="25" t="n">
        <v>3000.63</v>
      </c>
      <c r="C584" s="1" t="n">
        <v>42826</v>
      </c>
      <c r="D584" s="25" t="n">
        <v>2885.57</v>
      </c>
      <c r="E584" s="25" t="n"/>
      <c r="F584" s="25" t="n"/>
      <c r="G584" s="28">
        <f>D584-B584</f>
        <v/>
      </c>
      <c r="H584" s="10">
        <f>(D584/B584)-1</f>
        <v/>
      </c>
      <c r="I584" s="7" t="n"/>
      <c r="J584" s="1" t="n">
        <v>42822</v>
      </c>
      <c r="K584" s="25" t="n">
        <v>2913.48</v>
      </c>
      <c r="L584" s="1" t="n">
        <v>43187</v>
      </c>
      <c r="M584" s="25" t="n">
        <v>2780.04</v>
      </c>
      <c r="N584" s="26">
        <f>M584-K584</f>
        <v/>
      </c>
      <c r="O584" s="7">
        <f>(M584/K584)-1</f>
        <v/>
      </c>
      <c r="P584" s="4" t="n"/>
    </row>
    <row hidden="1" r="585" s="64" spans="1:23">
      <c r="A585" s="1" t="n">
        <v>42462</v>
      </c>
      <c r="B585" s="25" t="n">
        <v>3038.48</v>
      </c>
      <c r="C585" s="1" t="n">
        <v>42827</v>
      </c>
      <c r="D585" s="25" t="n">
        <v>2885.57</v>
      </c>
      <c r="E585" s="25" t="n"/>
      <c r="F585" s="25" t="n"/>
      <c r="G585" s="28">
        <f>D585-B585</f>
        <v/>
      </c>
      <c r="H585" s="10">
        <f>(D585/B585)-1</f>
        <v/>
      </c>
      <c r="I585" s="7" t="n"/>
      <c r="J585" s="1" t="n">
        <v>42822</v>
      </c>
      <c r="K585" s="25" t="n">
        <v>2913.48</v>
      </c>
      <c r="L585" s="1" t="n">
        <v>43187</v>
      </c>
      <c r="M585" s="25" t="n">
        <v>2780.04</v>
      </c>
      <c r="N585" s="26">
        <f>M585-K585</f>
        <v/>
      </c>
      <c r="O585" s="7">
        <f>(M585/K585)-1</f>
        <v/>
      </c>
      <c r="P585" s="4" t="n"/>
    </row>
    <row hidden="1" r="586" s="64" spans="1:23">
      <c r="A586" s="1" t="n">
        <v>42463</v>
      </c>
      <c r="B586" s="25" t="n">
        <v>3038.48</v>
      </c>
      <c r="C586" s="1" t="n">
        <v>42828</v>
      </c>
      <c r="D586" s="25" t="n">
        <v>2885.57</v>
      </c>
      <c r="E586" s="25" t="n"/>
      <c r="F586" s="25" t="n"/>
      <c r="G586" s="28">
        <f>D586-B586</f>
        <v/>
      </c>
      <c r="H586" s="10">
        <f>(D586/B586)-1</f>
        <v/>
      </c>
      <c r="I586" s="7" t="n"/>
      <c r="J586" s="1" t="n">
        <v>42822</v>
      </c>
      <c r="K586" s="25" t="n">
        <v>2913.48</v>
      </c>
      <c r="L586" s="1" t="n">
        <v>43187</v>
      </c>
      <c r="M586" s="25" t="n">
        <v>2780.04</v>
      </c>
      <c r="N586" s="26">
        <f>M586-K586</f>
        <v/>
      </c>
      <c r="O586" s="7">
        <f>(M586/K586)-1</f>
        <v/>
      </c>
      <c r="P586" s="4" t="n"/>
    </row>
    <row hidden="1" r="587" s="64" spans="1:23">
      <c r="A587" s="1" t="n">
        <v>42464</v>
      </c>
      <c r="B587" s="25" t="n">
        <v>3038.48</v>
      </c>
      <c r="C587" s="1" t="n">
        <v>42829</v>
      </c>
      <c r="D587" s="25" t="n">
        <v>2866.87</v>
      </c>
      <c r="E587" s="25" t="n"/>
      <c r="F587" s="25" t="n"/>
      <c r="G587" s="28">
        <f>D587-B587</f>
        <v/>
      </c>
      <c r="H587" s="10">
        <f>(D587/B587)-1</f>
        <v/>
      </c>
      <c r="I587" s="7" t="n"/>
      <c r="J587" s="1" t="n">
        <v>42822</v>
      </c>
      <c r="K587" s="25" t="n">
        <v>2913.48</v>
      </c>
      <c r="L587" s="1" t="n">
        <v>43187</v>
      </c>
      <c r="M587" s="25" t="n">
        <v>2780.04</v>
      </c>
      <c r="N587" s="26">
        <f>M587-K587</f>
        <v/>
      </c>
      <c r="O587" s="7">
        <f>(M587/K587)-1</f>
        <v/>
      </c>
      <c r="P587" s="4" t="n"/>
    </row>
    <row hidden="1" r="588" s="64" spans="1:23">
      <c r="A588" s="1" t="n">
        <v>42465</v>
      </c>
      <c r="B588" s="25" t="n">
        <v>3066.94</v>
      </c>
      <c r="C588" s="1" t="n">
        <v>42830</v>
      </c>
      <c r="D588" s="25" t="n">
        <v>2869.32</v>
      </c>
      <c r="E588" s="25" t="n"/>
      <c r="F588" s="25" t="n"/>
      <c r="G588" s="28">
        <f>D588-B588</f>
        <v/>
      </c>
      <c r="H588" s="10">
        <f>(D588/B588)-1</f>
        <v/>
      </c>
      <c r="I588" s="7" t="n"/>
      <c r="J588" s="1" t="n">
        <v>42822</v>
      </c>
      <c r="K588" s="25" t="n">
        <v>2913.48</v>
      </c>
      <c r="L588" s="1" t="n">
        <v>43187</v>
      </c>
      <c r="M588" s="25" t="n">
        <v>2780.04</v>
      </c>
      <c r="N588" s="26">
        <f>M588-K588</f>
        <v/>
      </c>
      <c r="O588" s="7">
        <f>(M588/K588)-1</f>
        <v/>
      </c>
      <c r="P588" s="4" t="n"/>
    </row>
    <row hidden="1" r="589" s="64" spans="1:23">
      <c r="A589" s="1" t="n">
        <v>42466</v>
      </c>
      <c r="B589" s="25" t="n">
        <v>3085.52</v>
      </c>
      <c r="C589" s="1" t="n">
        <v>42831</v>
      </c>
      <c r="D589" s="25" t="n">
        <v>2857.65</v>
      </c>
      <c r="E589" s="25" t="n"/>
      <c r="F589" s="25" t="n"/>
      <c r="G589" s="28">
        <f>D589-B589</f>
        <v/>
      </c>
      <c r="H589" s="10">
        <f>(D589/B589)-1</f>
        <v/>
      </c>
      <c r="I589" s="7" t="n"/>
      <c r="J589" s="1" t="n">
        <v>42822</v>
      </c>
      <c r="K589" s="25" t="n">
        <v>2913.48</v>
      </c>
      <c r="L589" s="1" t="n">
        <v>43187</v>
      </c>
      <c r="M589" s="25" t="n">
        <v>2780.04</v>
      </c>
      <c r="N589" s="26">
        <f>M589-K589</f>
        <v/>
      </c>
      <c r="O589" s="7">
        <f>(M589/K589)-1</f>
        <v/>
      </c>
      <c r="P589" s="4" t="n"/>
    </row>
    <row hidden="1" r="590" s="64" spans="1:23">
      <c r="A590" s="1" t="n">
        <v>42467</v>
      </c>
      <c r="B590" s="25" t="n">
        <v>3081.39</v>
      </c>
      <c r="C590" s="1" t="n">
        <v>42832</v>
      </c>
      <c r="D590" s="25" t="n">
        <v>2853.1</v>
      </c>
      <c r="E590" s="25" t="n"/>
      <c r="F590" s="25" t="n"/>
      <c r="G590" s="28">
        <f>D590-B590</f>
        <v/>
      </c>
      <c r="H590" s="10">
        <f>(D590/B590)-1</f>
        <v/>
      </c>
      <c r="I590" s="7" t="n"/>
      <c r="J590" s="1" t="n">
        <v>42822</v>
      </c>
      <c r="K590" s="25" t="n">
        <v>2913.48</v>
      </c>
      <c r="L590" s="1" t="n">
        <v>43187</v>
      </c>
      <c r="M590" s="25" t="n">
        <v>2780.04</v>
      </c>
      <c r="N590" s="26">
        <f>M590-K590</f>
        <v/>
      </c>
      <c r="O590" s="7">
        <f>(M590/K590)-1</f>
        <v/>
      </c>
      <c r="P590" s="4" t="n"/>
    </row>
    <row hidden="1" r="591" s="64" spans="1:23">
      <c r="A591" s="1" t="n">
        <v>42468</v>
      </c>
      <c r="B591" s="25" t="n">
        <v>3109.6</v>
      </c>
      <c r="C591" s="1" t="n">
        <v>42833</v>
      </c>
      <c r="D591" s="25" t="n">
        <v>2858</v>
      </c>
      <c r="E591" s="25" t="n"/>
      <c r="F591" s="25" t="n"/>
      <c r="G591" s="28">
        <f>D591-B591</f>
        <v/>
      </c>
      <c r="H591" s="10">
        <f>(D591/B591)-1</f>
        <v/>
      </c>
      <c r="I591" s="7" t="n"/>
      <c r="J591" s="1" t="n">
        <v>42822</v>
      </c>
      <c r="K591" s="25" t="n">
        <v>2913.48</v>
      </c>
      <c r="L591" s="1" t="n">
        <v>43187</v>
      </c>
      <c r="M591" s="25" t="n">
        <v>2780.04</v>
      </c>
      <c r="N591" s="26">
        <f>M591-K591</f>
        <v/>
      </c>
      <c r="O591" s="7">
        <f>(M591/K591)-1</f>
        <v/>
      </c>
      <c r="P591" s="4" t="n"/>
    </row>
    <row hidden="1" r="592" s="64" spans="1:23">
      <c r="A592" s="1" t="n">
        <v>42469</v>
      </c>
      <c r="B592" s="25" t="n">
        <v>3076.29</v>
      </c>
      <c r="C592" s="1" t="n">
        <v>42834</v>
      </c>
      <c r="D592" s="25" t="n">
        <v>2858</v>
      </c>
      <c r="E592" s="25" t="n"/>
      <c r="F592" s="25" t="n"/>
      <c r="G592" s="28">
        <f>D592-B592</f>
        <v/>
      </c>
      <c r="H592" s="10">
        <f>(D592/B592)-1</f>
        <v/>
      </c>
      <c r="I592" s="7" t="n"/>
      <c r="J592" s="1" t="n">
        <v>42822</v>
      </c>
      <c r="K592" s="25" t="n">
        <v>2913.48</v>
      </c>
      <c r="L592" s="1" t="n">
        <v>43187</v>
      </c>
      <c r="M592" s="25" t="n">
        <v>2780.04</v>
      </c>
      <c r="N592" s="26">
        <f>M592-K592</f>
        <v/>
      </c>
      <c r="O592" s="7">
        <f>(M592/K592)-1</f>
        <v/>
      </c>
      <c r="P592" s="4" t="n"/>
    </row>
    <row hidden="1" r="593" s="64" spans="1:23">
      <c r="A593" s="1" t="n">
        <v>42470</v>
      </c>
      <c r="B593" s="25" t="n">
        <v>3076.29</v>
      </c>
      <c r="C593" s="1" t="n">
        <v>42835</v>
      </c>
      <c r="D593" s="25" t="n">
        <v>2858</v>
      </c>
      <c r="E593" s="25" t="n"/>
      <c r="F593" s="25" t="n"/>
      <c r="G593" s="28">
        <f>D593-B593</f>
        <v/>
      </c>
      <c r="H593" s="10">
        <f>(D593/B593)-1</f>
        <v/>
      </c>
      <c r="I593" s="7" t="n"/>
      <c r="J593" s="1" t="n">
        <v>42822</v>
      </c>
      <c r="K593" s="25" t="n">
        <v>2913.48</v>
      </c>
      <c r="L593" s="1" t="n">
        <v>43187</v>
      </c>
      <c r="M593" s="25" t="n">
        <v>2780.04</v>
      </c>
      <c r="N593" s="26">
        <f>M593-K593</f>
        <v/>
      </c>
      <c r="O593" s="7">
        <f>(M593/K593)-1</f>
        <v/>
      </c>
      <c r="P593" s="4" t="n"/>
    </row>
    <row hidden="1" r="594" s="64" spans="1:23">
      <c r="A594" s="1" t="n">
        <v>42471</v>
      </c>
      <c r="B594" s="25" t="n">
        <v>3076.29</v>
      </c>
      <c r="C594" s="1" t="n">
        <v>42836</v>
      </c>
      <c r="D594" s="25" t="n">
        <v>2867.13</v>
      </c>
      <c r="E594" s="25" t="n"/>
      <c r="F594" s="25" t="n"/>
      <c r="G594" s="28">
        <f>D594-B594</f>
        <v/>
      </c>
      <c r="H594" s="10">
        <f>(D594/B594)-1</f>
        <v/>
      </c>
      <c r="I594" s="7" t="n"/>
      <c r="J594" s="1" t="n">
        <v>42822</v>
      </c>
      <c r="K594" s="25" t="n">
        <v>2913.48</v>
      </c>
      <c r="L594" s="1" t="n">
        <v>43187</v>
      </c>
      <c r="M594" s="25" t="n">
        <v>2780.04</v>
      </c>
      <c r="N594" s="26">
        <f>M594-K594</f>
        <v/>
      </c>
      <c r="O594" s="7">
        <f>(M594/K594)-1</f>
        <v/>
      </c>
      <c r="P594" s="4" t="n"/>
    </row>
    <row hidden="1" r="595" s="64" spans="1:23">
      <c r="A595" s="1" t="n">
        <v>42472</v>
      </c>
      <c r="B595" s="25" t="n">
        <v>3057.96</v>
      </c>
      <c r="C595" s="1" t="n">
        <v>42837</v>
      </c>
      <c r="D595" s="25" t="n">
        <v>2868.6</v>
      </c>
      <c r="E595" s="25" t="n"/>
      <c r="F595" s="25" t="n"/>
      <c r="G595" s="28">
        <f>D595-B595</f>
        <v/>
      </c>
      <c r="H595" s="10">
        <f>(D595/B595)-1</f>
        <v/>
      </c>
      <c r="I595" s="7" t="n"/>
      <c r="J595" s="1" t="n">
        <v>42822</v>
      </c>
      <c r="K595" s="25" t="n">
        <v>2913.48</v>
      </c>
      <c r="L595" s="1" t="n">
        <v>43187</v>
      </c>
      <c r="M595" s="25" t="n">
        <v>2780.04</v>
      </c>
      <c r="N595" s="26">
        <f>M595-K595</f>
        <v/>
      </c>
      <c r="O595" s="7">
        <f>(M595/K595)-1</f>
        <v/>
      </c>
      <c r="P595" s="4" t="n"/>
    </row>
    <row hidden="1" r="596" s="64" spans="1:23">
      <c r="A596" s="1" t="n">
        <v>42473</v>
      </c>
      <c r="B596" s="25" t="n">
        <v>3036.57</v>
      </c>
      <c r="C596" s="1" t="n">
        <v>42838</v>
      </c>
      <c r="D596" s="25" t="n">
        <v>2872.55</v>
      </c>
      <c r="E596" s="25" t="n"/>
      <c r="F596" s="25" t="n"/>
      <c r="G596" s="28">
        <f>D596-B596</f>
        <v/>
      </c>
      <c r="H596" s="10">
        <f>(D596/B596)-1</f>
        <v/>
      </c>
      <c r="I596" s="7" t="n"/>
      <c r="J596" s="1" t="n">
        <v>42822</v>
      </c>
      <c r="K596" s="25" t="n">
        <v>2913.48</v>
      </c>
      <c r="L596" s="1" t="n">
        <v>43187</v>
      </c>
      <c r="M596" s="25" t="n">
        <v>2780.04</v>
      </c>
      <c r="N596" s="26">
        <f>M596-K596</f>
        <v/>
      </c>
      <c r="O596" s="7">
        <f>(M596/K596)-1</f>
        <v/>
      </c>
      <c r="P596" s="4" t="n"/>
    </row>
    <row hidden="1" r="597" s="64" spans="1:23">
      <c r="A597" s="1" t="n">
        <v>42474</v>
      </c>
      <c r="B597" s="25" t="n">
        <v>3006.35</v>
      </c>
      <c r="C597" s="1" t="n">
        <v>42839</v>
      </c>
      <c r="D597" s="25" t="n">
        <v>2872.55</v>
      </c>
      <c r="E597" s="25" t="n"/>
      <c r="F597" s="25" t="n"/>
      <c r="G597" s="28">
        <f>D597-B597</f>
        <v/>
      </c>
      <c r="H597" s="10">
        <f>(D597/B597)-1</f>
        <v/>
      </c>
      <c r="I597" s="7" t="n"/>
      <c r="J597" s="1" t="n">
        <v>42822</v>
      </c>
      <c r="K597" s="25" t="n">
        <v>2913.48</v>
      </c>
      <c r="L597" s="1" t="n">
        <v>43187</v>
      </c>
      <c r="M597" s="25" t="n">
        <v>2780.04</v>
      </c>
      <c r="N597" s="26">
        <f>M597-K597</f>
        <v/>
      </c>
      <c r="O597" s="7">
        <f>(M597/K597)-1</f>
        <v/>
      </c>
      <c r="P597" s="4" t="n"/>
    </row>
    <row hidden="1" r="598" s="64" spans="1:23">
      <c r="A598" s="1" t="n">
        <v>42475</v>
      </c>
      <c r="B598" s="25" t="n">
        <v>3000.78</v>
      </c>
      <c r="C598" s="1" t="n">
        <v>42840</v>
      </c>
      <c r="D598" s="25" t="n">
        <v>2872.55</v>
      </c>
      <c r="E598" s="25" t="n"/>
      <c r="F598" s="25" t="n"/>
      <c r="G598" s="28">
        <f>D598-B598</f>
        <v/>
      </c>
      <c r="H598" s="10">
        <f>(D598/B598)-1</f>
        <v/>
      </c>
      <c r="I598" s="7" t="n"/>
      <c r="J598" s="1" t="n">
        <v>42822</v>
      </c>
      <c r="K598" s="25" t="n">
        <v>2913.48</v>
      </c>
      <c r="L598" s="1" t="n">
        <v>43187</v>
      </c>
      <c r="M598" s="25" t="n">
        <v>2780.04</v>
      </c>
      <c r="N598" s="26">
        <f>M598-K598</f>
        <v/>
      </c>
      <c r="O598" s="7">
        <f>(M598/K598)-1</f>
        <v/>
      </c>
      <c r="P598" s="4" t="n"/>
    </row>
    <row hidden="1" r="599" s="64" spans="1:23">
      <c r="A599" s="1" t="n">
        <v>42476</v>
      </c>
      <c r="B599" s="25" t="n">
        <v>2999.38</v>
      </c>
      <c r="C599" s="1" t="n">
        <v>42841</v>
      </c>
      <c r="D599" s="25" t="n">
        <v>2872.55</v>
      </c>
      <c r="E599" s="25" t="n"/>
      <c r="F599" s="25" t="n"/>
      <c r="G599" s="28">
        <f>D599-B599</f>
        <v/>
      </c>
      <c r="H599" s="10">
        <f>(D599/B599)-1</f>
        <v/>
      </c>
      <c r="I599" s="7" t="n"/>
      <c r="J599" s="1" t="n">
        <v>42822</v>
      </c>
      <c r="K599" s="25" t="n">
        <v>2913.48</v>
      </c>
      <c r="L599" s="1" t="n">
        <v>43187</v>
      </c>
      <c r="M599" s="25" t="n">
        <v>2780.04</v>
      </c>
      <c r="N599" s="26">
        <f>M599-K599</f>
        <v/>
      </c>
      <c r="O599" s="7">
        <f>(M599/K599)-1</f>
        <v/>
      </c>
      <c r="P599" s="4" t="n"/>
    </row>
    <row hidden="1" r="600" s="64" spans="1:23">
      <c r="A600" s="1" t="n">
        <v>42477</v>
      </c>
      <c r="B600" s="25" t="n">
        <v>2999.38</v>
      </c>
      <c r="C600" s="1" t="n">
        <v>42842</v>
      </c>
      <c r="D600" s="25" t="n">
        <v>2872.55</v>
      </c>
      <c r="E600" s="25" t="n"/>
      <c r="F600" s="25" t="n"/>
      <c r="G600" s="28">
        <f>D600-B600</f>
        <v/>
      </c>
      <c r="H600" s="10">
        <f>(D600/B600)-1</f>
        <v/>
      </c>
      <c r="I600" s="7" t="n"/>
      <c r="J600" s="1" t="n">
        <v>42822</v>
      </c>
      <c r="K600" s="25" t="n">
        <v>2913.48</v>
      </c>
      <c r="L600" s="1" t="n">
        <v>43187</v>
      </c>
      <c r="M600" s="25" t="n">
        <v>2780.04</v>
      </c>
      <c r="N600" s="26">
        <f>M600-K600</f>
        <v/>
      </c>
      <c r="O600" s="7">
        <f>(M600/K600)-1</f>
        <v/>
      </c>
      <c r="P600" s="4" t="n"/>
    </row>
    <row hidden="1" r="601" s="64" spans="1:23">
      <c r="A601" s="1" t="n">
        <v>42478</v>
      </c>
      <c r="B601" s="25" t="n">
        <v>2999.38</v>
      </c>
      <c r="C601" s="1" t="n">
        <v>42843</v>
      </c>
      <c r="D601" s="25" t="n">
        <v>2854.89</v>
      </c>
      <c r="E601" s="25" t="n"/>
      <c r="F601" s="25" t="n"/>
      <c r="G601" s="28">
        <f>D601-B601</f>
        <v/>
      </c>
      <c r="H601" s="10">
        <f>(D601/B601)-1</f>
        <v/>
      </c>
      <c r="I601" s="7" t="n"/>
      <c r="J601" s="1" t="n">
        <v>42822</v>
      </c>
      <c r="K601" s="25" t="n">
        <v>2913.48</v>
      </c>
      <c r="L601" s="1" t="n">
        <v>43187</v>
      </c>
      <c r="M601" s="25" t="n">
        <v>2780.04</v>
      </c>
      <c r="N601" s="26">
        <f>M601-K601</f>
        <v/>
      </c>
      <c r="O601" s="7">
        <f>(M601/K601)-1</f>
        <v/>
      </c>
      <c r="P601" s="4" t="n"/>
    </row>
    <row hidden="1" r="602" s="64" spans="1:23">
      <c r="A602" s="1" t="n">
        <v>42479</v>
      </c>
      <c r="B602" s="25" t="n">
        <v>2995.86</v>
      </c>
      <c r="C602" s="1" t="n">
        <v>42844</v>
      </c>
      <c r="D602" s="25" t="n">
        <v>2837.9</v>
      </c>
      <c r="E602" s="25" t="n"/>
      <c r="F602" s="25" t="n"/>
      <c r="G602" s="28">
        <f>D602-B602</f>
        <v/>
      </c>
      <c r="H602" s="10">
        <f>(D602/B602)-1</f>
        <v/>
      </c>
      <c r="I602" s="7" t="n"/>
      <c r="J602" s="1" t="n">
        <v>42822</v>
      </c>
      <c r="K602" s="25" t="n">
        <v>2913.48</v>
      </c>
      <c r="L602" s="1" t="n">
        <v>43187</v>
      </c>
      <c r="M602" s="25" t="n">
        <v>2780.04</v>
      </c>
      <c r="N602" s="26">
        <f>M602-K602</f>
        <v/>
      </c>
      <c r="O602" s="7">
        <f>(M602/K602)-1</f>
        <v/>
      </c>
      <c r="P602" s="4" t="n"/>
    </row>
    <row hidden="1" r="603" s="64" spans="1:23">
      <c r="A603" s="1" t="n">
        <v>42480</v>
      </c>
      <c r="B603" s="25" t="n">
        <v>2912.2</v>
      </c>
      <c r="C603" s="1" t="n">
        <v>42845</v>
      </c>
      <c r="D603" s="25" t="n">
        <v>2856.48</v>
      </c>
      <c r="E603" s="25" t="n"/>
      <c r="F603" s="25" t="n"/>
      <c r="G603" s="28">
        <f>D603-B603</f>
        <v/>
      </c>
      <c r="H603" s="10">
        <f>(D603/B603)-1</f>
        <v/>
      </c>
      <c r="I603" s="7" t="n"/>
      <c r="J603" s="1" t="n">
        <v>42822</v>
      </c>
      <c r="K603" s="25" t="n">
        <v>2913.48</v>
      </c>
      <c r="L603" s="1" t="n">
        <v>43187</v>
      </c>
      <c r="M603" s="25" t="n">
        <v>2780.04</v>
      </c>
      <c r="N603" s="26">
        <f>M603-K603</f>
        <v/>
      </c>
      <c r="O603" s="7">
        <f>(M603/K603)-1</f>
        <v/>
      </c>
      <c r="P603" s="4" t="n"/>
    </row>
    <row hidden="1" r="604" s="64" spans="1:23">
      <c r="A604" s="1" t="n">
        <v>42481</v>
      </c>
      <c r="B604" s="25" t="n">
        <v>2899.92</v>
      </c>
      <c r="C604" s="1" t="n">
        <v>42846</v>
      </c>
      <c r="D604" s="25" t="n">
        <v>2863.39</v>
      </c>
      <c r="E604" s="25" t="n"/>
      <c r="F604" s="25" t="n"/>
      <c r="G604" s="28">
        <f>D604-B604</f>
        <v/>
      </c>
      <c r="H604" s="10">
        <f>(D604/B604)-1</f>
        <v/>
      </c>
      <c r="I604" s="7" t="n"/>
      <c r="J604" s="1" t="n">
        <v>42822</v>
      </c>
      <c r="K604" s="25" t="n">
        <v>2913.48</v>
      </c>
      <c r="L604" s="1" t="n">
        <v>43187</v>
      </c>
      <c r="M604" s="25" t="n">
        <v>2780.04</v>
      </c>
      <c r="N604" s="26">
        <f>M604-K604</f>
        <v/>
      </c>
      <c r="O604" s="7">
        <f>(M604/K604)-1</f>
        <v/>
      </c>
      <c r="P604" s="4" t="n"/>
    </row>
    <row hidden="1" r="605" s="64" spans="1:23">
      <c r="A605" s="1" t="n">
        <v>42482</v>
      </c>
      <c r="B605" s="25" t="n">
        <v>2928.7</v>
      </c>
      <c r="C605" s="1" t="n">
        <v>42847</v>
      </c>
      <c r="D605" s="25" t="n">
        <v>2868.89</v>
      </c>
      <c r="E605" s="25" t="n"/>
      <c r="F605" s="25" t="n"/>
      <c r="G605" s="28">
        <f>D605-B605</f>
        <v/>
      </c>
      <c r="H605" s="10">
        <f>(D605/B605)-1</f>
        <v/>
      </c>
      <c r="I605" s="7" t="n"/>
      <c r="J605" s="1" t="n">
        <v>42822</v>
      </c>
      <c r="K605" s="25" t="n">
        <v>2913.48</v>
      </c>
      <c r="L605" s="1" t="n">
        <v>43187</v>
      </c>
      <c r="M605" s="25" t="n">
        <v>2780.04</v>
      </c>
      <c r="N605" s="26">
        <f>M605-K605</f>
        <v/>
      </c>
      <c r="O605" s="7">
        <f>(M605/K605)-1</f>
        <v/>
      </c>
      <c r="P605" s="4" t="n"/>
    </row>
    <row hidden="1" r="606" s="64" spans="1:23">
      <c r="A606" s="1" t="n">
        <v>42483</v>
      </c>
      <c r="B606" s="25" t="n">
        <v>2939.7</v>
      </c>
      <c r="C606" s="1" t="n">
        <v>42848</v>
      </c>
      <c r="D606" s="25" t="n">
        <v>2868.89</v>
      </c>
      <c r="E606" s="25" t="n"/>
      <c r="F606" s="25" t="n"/>
      <c r="G606" s="28">
        <f>D606-B606</f>
        <v/>
      </c>
      <c r="H606" s="10">
        <f>(D606/B606)-1</f>
        <v/>
      </c>
      <c r="I606" s="7" t="n"/>
      <c r="J606" s="1" t="n">
        <v>42822</v>
      </c>
      <c r="K606" s="25" t="n">
        <v>2913.48</v>
      </c>
      <c r="L606" s="1" t="n">
        <v>43187</v>
      </c>
      <c r="M606" s="25" t="n">
        <v>2780.04</v>
      </c>
      <c r="N606" s="26">
        <f>M606-K606</f>
        <v/>
      </c>
      <c r="O606" s="7">
        <f>(M606/K606)-1</f>
        <v/>
      </c>
      <c r="P606" s="4" t="n"/>
    </row>
    <row hidden="1" r="607" s="64" spans="1:23">
      <c r="A607" s="1" t="n">
        <v>42484</v>
      </c>
      <c r="B607" s="25" t="n">
        <v>2939.7</v>
      </c>
      <c r="C607" s="1" t="n">
        <v>42849</v>
      </c>
      <c r="D607" s="25" t="n">
        <v>2868.89</v>
      </c>
      <c r="E607" s="25" t="n"/>
      <c r="F607" s="25" t="n"/>
      <c r="G607" s="28">
        <f>D607-B607</f>
        <v/>
      </c>
      <c r="H607" s="10">
        <f>(D607/B607)-1</f>
        <v/>
      </c>
      <c r="I607" s="7" t="n"/>
      <c r="J607" s="1" t="n">
        <v>42822</v>
      </c>
      <c r="K607" s="25" t="n">
        <v>2913.48</v>
      </c>
      <c r="L607" s="1" t="n">
        <v>43187</v>
      </c>
      <c r="M607" s="25" t="n">
        <v>2780.04</v>
      </c>
      <c r="N607" s="26">
        <f>M607-K607</f>
        <v/>
      </c>
      <c r="O607" s="7">
        <f>(M607/K607)-1</f>
        <v/>
      </c>
      <c r="P607" s="4" t="n"/>
    </row>
    <row hidden="1" r="608" s="64" spans="1:23">
      <c r="A608" s="1" t="n">
        <v>42485</v>
      </c>
      <c r="B608" s="25" t="n">
        <v>2939.7</v>
      </c>
      <c r="C608" s="1" t="n">
        <v>42850</v>
      </c>
      <c r="D608" s="25" t="n">
        <v>2871.98</v>
      </c>
      <c r="E608" s="25" t="n"/>
      <c r="F608" s="25" t="n"/>
      <c r="G608" s="28">
        <f>D608-B608</f>
        <v/>
      </c>
      <c r="H608" s="10">
        <f>(D608/B608)-1</f>
        <v/>
      </c>
      <c r="I608" s="7" t="n"/>
      <c r="J608" s="1" t="n">
        <v>42822</v>
      </c>
      <c r="K608" s="25" t="n">
        <v>2913.48</v>
      </c>
      <c r="L608" s="1" t="n">
        <v>43187</v>
      </c>
      <c r="M608" s="25" t="n">
        <v>2780.04</v>
      </c>
      <c r="N608" s="26">
        <f>M608-K608</f>
        <v/>
      </c>
      <c r="O608" s="7">
        <f>(M608/K608)-1</f>
        <v/>
      </c>
      <c r="P608" s="4" t="n"/>
    </row>
    <row hidden="1" r="609" s="64" spans="1:23">
      <c r="A609" s="1" t="n">
        <v>42486</v>
      </c>
      <c r="B609" s="25" t="n">
        <v>2962.08</v>
      </c>
      <c r="C609" s="1" t="n">
        <v>42851</v>
      </c>
      <c r="D609" s="25" t="n">
        <v>2899.13</v>
      </c>
      <c r="E609" s="25" t="n"/>
      <c r="F609" s="25" t="n"/>
      <c r="G609" s="28">
        <f>D609-B609</f>
        <v/>
      </c>
      <c r="H609" s="10">
        <f>(D609/B609)-1</f>
        <v/>
      </c>
      <c r="I609" s="7" t="n"/>
      <c r="J609" s="1" t="n">
        <v>42822</v>
      </c>
      <c r="K609" s="25" t="n">
        <v>2913.48</v>
      </c>
      <c r="L609" s="1" t="n">
        <v>43187</v>
      </c>
      <c r="M609" s="25" t="n">
        <v>2780.04</v>
      </c>
      <c r="N609" s="26">
        <f>M609-K609</f>
        <v/>
      </c>
      <c r="O609" s="7">
        <f>(M609/K609)-1</f>
        <v/>
      </c>
      <c r="P609" s="4" t="n"/>
    </row>
    <row hidden="1" r="610" s="64" spans="1:23">
      <c r="A610" s="1" t="n">
        <v>42487</v>
      </c>
      <c r="B610" s="25" t="n">
        <v>2945.37</v>
      </c>
      <c r="C610" s="1" t="n">
        <v>42852</v>
      </c>
      <c r="D610" s="25" t="n">
        <v>2928.07</v>
      </c>
      <c r="E610" s="25" t="n"/>
      <c r="F610" s="25" t="n"/>
      <c r="G610" s="28">
        <f>D610-B610</f>
        <v/>
      </c>
      <c r="H610" s="10">
        <f>(D610/B610)-1</f>
        <v/>
      </c>
      <c r="I610" s="7" t="n"/>
      <c r="J610" s="1" t="n">
        <v>42822</v>
      </c>
      <c r="K610" s="25" t="n">
        <v>2913.48</v>
      </c>
      <c r="L610" s="1" t="n">
        <v>43187</v>
      </c>
      <c r="M610" s="25" t="n">
        <v>2780.04</v>
      </c>
      <c r="N610" s="26">
        <f>M610-K610</f>
        <v/>
      </c>
      <c r="O610" s="7">
        <f>(M610/K610)-1</f>
        <v/>
      </c>
      <c r="P610" s="4" t="n"/>
    </row>
    <row hidden="1" r="611" s="64" spans="1:23">
      <c r="A611" s="1" t="n">
        <v>42488</v>
      </c>
      <c r="B611" s="25" t="n">
        <v>2943.23</v>
      </c>
      <c r="C611" s="1" t="n">
        <v>42853</v>
      </c>
      <c r="D611" s="25" t="n">
        <v>2944.31</v>
      </c>
      <c r="E611" s="25" t="n"/>
      <c r="F611" s="25" t="n"/>
      <c r="G611" s="28">
        <f>D611-B611</f>
        <v/>
      </c>
      <c r="H611" s="10">
        <f>(D611/B611)-1</f>
        <v/>
      </c>
      <c r="I611" s="7" t="n"/>
      <c r="J611" s="1" t="n">
        <v>42822</v>
      </c>
      <c r="K611" s="25" t="n">
        <v>2913.48</v>
      </c>
      <c r="L611" s="1" t="n">
        <v>43187</v>
      </c>
      <c r="M611" s="25" t="n">
        <v>2780.04</v>
      </c>
      <c r="N611" s="26">
        <f>M611-K611</f>
        <v/>
      </c>
      <c r="O611" s="7">
        <f>(M611/K611)-1</f>
        <v/>
      </c>
      <c r="P611" s="4" t="n"/>
    </row>
    <row hidden="1" r="612" s="64" spans="1:23">
      <c r="A612" s="1" t="n">
        <v>42489</v>
      </c>
      <c r="B612" s="25" t="n">
        <v>2885.72</v>
      </c>
      <c r="C612" s="1" t="n">
        <v>42854</v>
      </c>
      <c r="D612" s="25" t="n">
        <v>2947.85</v>
      </c>
      <c r="E612" s="25" t="n"/>
      <c r="F612" s="25" t="n"/>
      <c r="G612" s="28">
        <f>D612-B612</f>
        <v/>
      </c>
      <c r="H612" s="10">
        <f>(D612/B612)-1</f>
        <v/>
      </c>
      <c r="I612" s="7" t="n"/>
      <c r="J612" s="1" t="n">
        <v>42822</v>
      </c>
      <c r="K612" s="25" t="n">
        <v>2913.48</v>
      </c>
      <c r="L612" s="1" t="n">
        <v>43187</v>
      </c>
      <c r="M612" s="25" t="n">
        <v>2780.04</v>
      </c>
      <c r="N612" s="26">
        <f>M612-K612</f>
        <v/>
      </c>
      <c r="O612" s="7">
        <f>(M612/K612)-1</f>
        <v/>
      </c>
      <c r="P612" s="4" t="n"/>
    </row>
    <row hidden="1" r="613" s="64" spans="1:23">
      <c r="A613" s="1" t="n">
        <v>42490</v>
      </c>
      <c r="B613" s="25" t="n">
        <v>2851.14</v>
      </c>
      <c r="C613" s="1" t="n">
        <v>42855</v>
      </c>
      <c r="D613" s="25" t="n">
        <v>2947.85</v>
      </c>
      <c r="E613" s="25" t="n"/>
      <c r="F613" s="25" t="n"/>
      <c r="G613" s="28">
        <f>D613-B613</f>
        <v/>
      </c>
      <c r="H613" s="10">
        <f>(D613/B613)-1</f>
        <v/>
      </c>
      <c r="I613" s="7" t="n"/>
      <c r="J613" s="1" t="n">
        <v>42822</v>
      </c>
      <c r="K613" s="25" t="n">
        <v>2913.48</v>
      </c>
      <c r="L613" s="1" t="n">
        <v>43187</v>
      </c>
      <c r="M613" s="25" t="n">
        <v>2780.04</v>
      </c>
      <c r="N613" s="26">
        <f>M613-K613</f>
        <v/>
      </c>
      <c r="O613" s="7">
        <f>(M613/K613)-1</f>
        <v/>
      </c>
      <c r="P613" s="4" t="n"/>
    </row>
    <row hidden="1" r="614" s="64" spans="1:23">
      <c r="A614" s="1" t="n">
        <v>42491</v>
      </c>
      <c r="B614" s="25" t="n">
        <v>2851.14</v>
      </c>
      <c r="C614" s="1" t="n">
        <v>42856</v>
      </c>
      <c r="D614" s="25" t="n">
        <v>2947.85</v>
      </c>
      <c r="E614" s="25" t="n"/>
      <c r="F614" s="25" t="n"/>
      <c r="G614" s="28">
        <f>D614-B614</f>
        <v/>
      </c>
      <c r="H614" s="10">
        <f>(D614/B614)-1</f>
        <v/>
      </c>
      <c r="I614" s="7" t="n"/>
      <c r="J614" s="1" t="n">
        <v>42822</v>
      </c>
      <c r="K614" s="25" t="n">
        <v>2913.48</v>
      </c>
      <c r="L614" s="1" t="n">
        <v>43187</v>
      </c>
      <c r="M614" s="25" t="n">
        <v>2780.04</v>
      </c>
      <c r="N614" s="26">
        <f>M614-K614</f>
        <v/>
      </c>
      <c r="O614" s="7">
        <f>(M614/K614)-1</f>
        <v/>
      </c>
      <c r="P614" s="4" t="n"/>
    </row>
    <row hidden="1" r="615" s="64" spans="1:23">
      <c r="A615" s="1" t="n">
        <v>42492</v>
      </c>
      <c r="B615" s="25" t="n">
        <v>2851.14</v>
      </c>
      <c r="C615" s="1" t="n">
        <v>42857</v>
      </c>
      <c r="D615" s="25" t="n">
        <v>2947.85</v>
      </c>
      <c r="E615" s="25" t="n"/>
      <c r="F615" s="25" t="n"/>
      <c r="G615" s="28">
        <f>D615-B615</f>
        <v/>
      </c>
      <c r="H615" s="10">
        <f>(D615/B615)-1</f>
        <v/>
      </c>
      <c r="I615" s="7" t="n"/>
      <c r="J615" s="1" t="n">
        <v>42822</v>
      </c>
      <c r="K615" s="25" t="n">
        <v>2913.48</v>
      </c>
      <c r="L615" s="1" t="n">
        <v>43187</v>
      </c>
      <c r="M615" s="25" t="n">
        <v>2780.04</v>
      </c>
      <c r="N615" s="26">
        <f>M615-K615</f>
        <v/>
      </c>
      <c r="O615" s="7">
        <f>(M615/K615)-1</f>
        <v/>
      </c>
      <c r="P615" s="4" t="n"/>
    </row>
    <row hidden="1" r="616" s="64" spans="1:23">
      <c r="A616" s="1" t="n">
        <v>42493</v>
      </c>
      <c r="B616" s="25" t="n">
        <v>2833.78</v>
      </c>
      <c r="C616" s="1" t="n">
        <v>42858</v>
      </c>
      <c r="D616" s="25" t="n">
        <v>2945.53</v>
      </c>
      <c r="E616" s="25" t="n"/>
      <c r="F616" s="25" t="n"/>
      <c r="G616" s="28">
        <f>D616-B616</f>
        <v/>
      </c>
      <c r="H616" s="10">
        <f>(D616/B616)-1</f>
        <v/>
      </c>
      <c r="I616" s="7" t="n"/>
      <c r="J616" s="1" t="n">
        <v>42822</v>
      </c>
      <c r="K616" s="25" t="n">
        <v>2913.48</v>
      </c>
      <c r="L616" s="1" t="n">
        <v>43187</v>
      </c>
      <c r="M616" s="25" t="n">
        <v>2780.04</v>
      </c>
      <c r="N616" s="26">
        <f>M616-K616</f>
        <v/>
      </c>
      <c r="O616" s="7">
        <f>(M616/K616)-1</f>
        <v/>
      </c>
      <c r="P616" s="4" t="n"/>
    </row>
    <row hidden="1" r="617" s="64" spans="1:23">
      <c r="A617" s="1" t="n">
        <v>42494</v>
      </c>
      <c r="B617" s="25" t="n">
        <v>2895.51</v>
      </c>
      <c r="C617" s="1" t="n">
        <v>42859</v>
      </c>
      <c r="D617" s="25" t="n">
        <v>2930.17</v>
      </c>
      <c r="E617" s="25" t="n"/>
      <c r="F617" s="25" t="n"/>
      <c r="G617" s="28">
        <f>D617-B617</f>
        <v/>
      </c>
      <c r="H617" s="10">
        <f>(D617/B617)-1</f>
        <v/>
      </c>
      <c r="I617" s="7" t="n"/>
      <c r="J617" s="1" t="n">
        <v>42822</v>
      </c>
      <c r="K617" s="25" t="n">
        <v>2913.48</v>
      </c>
      <c r="L617" s="1" t="n">
        <v>43187</v>
      </c>
      <c r="M617" s="25" t="n">
        <v>2780.04</v>
      </c>
      <c r="N617" s="26">
        <f>M617-K617</f>
        <v/>
      </c>
      <c r="O617" s="7">
        <f>(M617/K617)-1</f>
        <v/>
      </c>
      <c r="P617" s="4" t="n"/>
    </row>
    <row hidden="1" r="618" s="64" spans="1:23">
      <c r="A618" s="1" t="n">
        <v>42495</v>
      </c>
      <c r="B618" s="25" t="n">
        <v>2942.16</v>
      </c>
      <c r="C618" s="1" t="n">
        <v>42860</v>
      </c>
      <c r="D618" s="25" t="n">
        <v>2967.44</v>
      </c>
      <c r="E618" s="25" t="n"/>
      <c r="F618" s="25" t="n"/>
      <c r="G618" s="28">
        <f>D618-B618</f>
        <v/>
      </c>
      <c r="H618" s="10">
        <f>(D618/B618)-1</f>
        <v/>
      </c>
      <c r="I618" s="7" t="n"/>
      <c r="J618" s="1" t="n">
        <v>42822</v>
      </c>
      <c r="K618" s="25" t="n">
        <v>2913.48</v>
      </c>
      <c r="L618" s="1" t="n">
        <v>43187</v>
      </c>
      <c r="M618" s="25" t="n">
        <v>2780.04</v>
      </c>
      <c r="N618" s="26">
        <f>M618-K618</f>
        <v/>
      </c>
      <c r="O618" s="7">
        <f>(M618/K618)-1</f>
        <v/>
      </c>
      <c r="P618" s="4" t="n"/>
    </row>
    <row hidden="1" r="619" s="64" spans="1:23">
      <c r="A619" s="1" t="n">
        <v>42496</v>
      </c>
      <c r="B619" s="25" t="n">
        <v>2952.37</v>
      </c>
      <c r="C619" s="1" t="n">
        <v>42861</v>
      </c>
      <c r="D619" s="25" t="n">
        <v>2961.78</v>
      </c>
      <c r="E619" s="25" t="n"/>
      <c r="F619" s="25" t="n"/>
      <c r="G619" s="28">
        <f>D619-B619</f>
        <v/>
      </c>
      <c r="H619" s="10">
        <f>(D619/B619)-1</f>
        <v/>
      </c>
      <c r="I619" s="7" t="n"/>
      <c r="J619" s="1" t="n">
        <v>42822</v>
      </c>
      <c r="K619" s="25" t="n">
        <v>2913.48</v>
      </c>
      <c r="L619" s="1" t="n">
        <v>43187</v>
      </c>
      <c r="M619" s="25" t="n">
        <v>2780.04</v>
      </c>
      <c r="N619" s="26">
        <f>M619-K619</f>
        <v/>
      </c>
      <c r="O619" s="7">
        <f>(M619/K619)-1</f>
        <v/>
      </c>
      <c r="P619" s="4" t="n"/>
    </row>
    <row hidden="1" r="620" s="64" spans="1:23">
      <c r="A620" s="1" t="n">
        <v>42497</v>
      </c>
      <c r="B620" s="25" t="n">
        <v>2969.62</v>
      </c>
      <c r="C620" s="1" t="n">
        <v>42862</v>
      </c>
      <c r="D620" s="25" t="n">
        <v>2961.78</v>
      </c>
      <c r="E620" s="25" t="n"/>
      <c r="F620" s="25" t="n"/>
      <c r="G620" s="28">
        <f>D620-B620</f>
        <v/>
      </c>
      <c r="H620" s="10">
        <f>(D620/B620)-1</f>
        <v/>
      </c>
      <c r="I620" s="7" t="n"/>
      <c r="J620" s="1" t="n">
        <v>42822</v>
      </c>
      <c r="K620" s="25" t="n">
        <v>2913.48</v>
      </c>
      <c r="L620" s="1" t="n">
        <v>43187</v>
      </c>
      <c r="M620" s="25" t="n">
        <v>2780.04</v>
      </c>
      <c r="N620" s="26">
        <f>M620-K620</f>
        <v/>
      </c>
      <c r="O620" s="7">
        <f>(M620/K620)-1</f>
        <v/>
      </c>
      <c r="P620" s="4" t="n"/>
    </row>
    <row hidden="1" r="621" s="64" spans="1:23">
      <c r="A621" s="1" t="n">
        <v>42498</v>
      </c>
      <c r="B621" s="25" t="n">
        <v>2969.62</v>
      </c>
      <c r="C621" s="1" t="n">
        <v>42863</v>
      </c>
      <c r="D621" s="25" t="n">
        <v>2961.78</v>
      </c>
      <c r="E621" s="25" t="n"/>
      <c r="F621" s="25" t="n"/>
      <c r="G621" s="28">
        <f>D621-B621</f>
        <v/>
      </c>
      <c r="H621" s="10">
        <f>(D621/B621)-1</f>
        <v/>
      </c>
      <c r="I621" s="7" t="n"/>
      <c r="J621" s="1" t="n">
        <v>42822</v>
      </c>
      <c r="K621" s="25" t="n">
        <v>2913.48</v>
      </c>
      <c r="L621" s="1" t="n">
        <v>43187</v>
      </c>
      <c r="M621" s="25" t="n">
        <v>2780.04</v>
      </c>
      <c r="N621" s="26">
        <f>M621-K621</f>
        <v/>
      </c>
      <c r="O621" s="7">
        <f>(M621/K621)-1</f>
        <v/>
      </c>
      <c r="P621" s="4" t="n"/>
    </row>
    <row hidden="1" r="622" s="64" spans="1:23">
      <c r="A622" s="1" t="n">
        <v>42499</v>
      </c>
      <c r="B622" s="25" t="n">
        <v>2969.62</v>
      </c>
      <c r="C622" s="1" t="n">
        <v>42864</v>
      </c>
      <c r="D622" s="25" t="n">
        <v>2959.26</v>
      </c>
      <c r="E622" s="25" t="n"/>
      <c r="F622" s="25" t="n"/>
      <c r="G622" s="28">
        <f>D622-B622</f>
        <v/>
      </c>
      <c r="H622" s="10">
        <f>(D622/B622)-1</f>
        <v/>
      </c>
      <c r="I622" s="7" t="n"/>
      <c r="J622" s="1" t="n">
        <v>42822</v>
      </c>
      <c r="K622" s="25" t="n">
        <v>2913.48</v>
      </c>
      <c r="L622" s="1" t="n">
        <v>43187</v>
      </c>
      <c r="M622" s="25" t="n">
        <v>2780.04</v>
      </c>
      <c r="N622" s="26">
        <f>M622-K622</f>
        <v/>
      </c>
      <c r="O622" s="7">
        <f>(M622/K622)-1</f>
        <v/>
      </c>
      <c r="P622" s="4" t="n"/>
    </row>
    <row hidden="1" r="623" s="64" spans="1:23">
      <c r="A623" s="1" t="n">
        <v>42500</v>
      </c>
      <c r="B623" s="25" t="n">
        <v>2969.62</v>
      </c>
      <c r="C623" s="1" t="n">
        <v>42865</v>
      </c>
      <c r="D623" s="25" t="n">
        <v>2967.24</v>
      </c>
      <c r="E623" s="25" t="n"/>
      <c r="F623" s="25" t="n"/>
      <c r="G623" s="28">
        <f>D623-B623</f>
        <v/>
      </c>
      <c r="H623" s="10">
        <f>(D623/B623)-1</f>
        <v/>
      </c>
      <c r="I623" s="7" t="n"/>
      <c r="J623" s="1" t="n">
        <v>42822</v>
      </c>
      <c r="K623" s="25" t="n">
        <v>2913.48</v>
      </c>
      <c r="L623" s="1" t="n">
        <v>43187</v>
      </c>
      <c r="M623" s="25" t="n">
        <v>2780.04</v>
      </c>
      <c r="N623" s="26">
        <f>M623-K623</f>
        <v/>
      </c>
      <c r="O623" s="7">
        <f>(M623/K623)-1</f>
        <v/>
      </c>
      <c r="P623" s="4" t="n"/>
    </row>
    <row hidden="1" r="624" s="64" spans="1:23">
      <c r="A624" s="1" t="n">
        <v>42501</v>
      </c>
      <c r="B624" s="25" t="n">
        <v>2979.54</v>
      </c>
      <c r="C624" s="1" t="n">
        <v>42866</v>
      </c>
      <c r="D624" s="25" t="n">
        <v>2949.35</v>
      </c>
      <c r="E624" s="25" t="n"/>
      <c r="F624" s="25" t="n"/>
      <c r="G624" s="28">
        <f>D624-B624</f>
        <v/>
      </c>
      <c r="H624" s="10">
        <f>(D624/B624)-1</f>
        <v/>
      </c>
      <c r="I624" s="7" t="n"/>
      <c r="J624" s="1" t="n">
        <v>42822</v>
      </c>
      <c r="K624" s="25" t="n">
        <v>2913.48</v>
      </c>
      <c r="L624" s="1" t="n">
        <v>43187</v>
      </c>
      <c r="M624" s="25" t="n">
        <v>2780.04</v>
      </c>
      <c r="N624" s="26">
        <f>M624-K624</f>
        <v/>
      </c>
      <c r="O624" s="7">
        <f>(M624/K624)-1</f>
        <v/>
      </c>
      <c r="P624" s="4" t="n"/>
    </row>
    <row hidden="1" r="625" s="64" spans="1:23">
      <c r="A625" s="1" t="n">
        <v>42502</v>
      </c>
      <c r="B625" s="25" t="n">
        <v>2956.82</v>
      </c>
      <c r="C625" s="1" t="n">
        <v>42867</v>
      </c>
      <c r="D625" s="25" t="n">
        <v>2933.92</v>
      </c>
      <c r="E625" s="25" t="n"/>
      <c r="F625" s="25" t="n"/>
      <c r="G625" s="28">
        <f>D625-B625</f>
        <v/>
      </c>
      <c r="H625" s="10">
        <f>(D625/B625)-1</f>
        <v/>
      </c>
      <c r="I625" s="7" t="n"/>
      <c r="J625" s="1" t="n">
        <v>42822</v>
      </c>
      <c r="K625" s="25" t="n">
        <v>2913.48</v>
      </c>
      <c r="L625" s="1" t="n">
        <v>43187</v>
      </c>
      <c r="M625" s="25" t="n">
        <v>2780.04</v>
      </c>
      <c r="N625" s="26">
        <f>M625-K625</f>
        <v/>
      </c>
      <c r="O625" s="7">
        <f>(M625/K625)-1</f>
        <v/>
      </c>
      <c r="P625" s="4" t="n"/>
    </row>
    <row hidden="1" r="626" s="64" spans="1:23">
      <c r="A626" s="1" t="n">
        <v>42503</v>
      </c>
      <c r="B626" s="25" t="n">
        <v>2934.88</v>
      </c>
      <c r="C626" s="1" t="n">
        <v>42868</v>
      </c>
      <c r="D626" s="25" t="n">
        <v>2918.69</v>
      </c>
      <c r="E626" s="25" t="n"/>
      <c r="F626" s="25" t="n"/>
      <c r="G626" s="28">
        <f>D626-B626</f>
        <v/>
      </c>
      <c r="H626" s="10">
        <f>(D626/B626)-1</f>
        <v/>
      </c>
      <c r="I626" s="7" t="n"/>
      <c r="J626" s="1" t="n">
        <v>42822</v>
      </c>
      <c r="K626" s="25" t="n">
        <v>2913.48</v>
      </c>
      <c r="L626" s="1" t="n">
        <v>43187</v>
      </c>
      <c r="M626" s="25" t="n">
        <v>2780.04</v>
      </c>
      <c r="N626" s="26">
        <f>M626-K626</f>
        <v/>
      </c>
      <c r="O626" s="7">
        <f>(M626/K626)-1</f>
        <v/>
      </c>
      <c r="P626" s="4" t="n"/>
    </row>
    <row hidden="1" r="627" s="64" spans="1:23">
      <c r="A627" s="1" t="n">
        <v>42504</v>
      </c>
      <c r="B627" s="25" t="n">
        <v>2983.82</v>
      </c>
      <c r="C627" s="1" t="n">
        <v>42869</v>
      </c>
      <c r="D627" s="25" t="n">
        <v>2918.69</v>
      </c>
      <c r="E627" s="25" t="n"/>
      <c r="F627" s="25" t="n"/>
      <c r="G627" s="28">
        <f>D627-B627</f>
        <v/>
      </c>
      <c r="H627" s="10">
        <f>(D627/B627)-1</f>
        <v/>
      </c>
      <c r="I627" s="7" t="n"/>
      <c r="J627" s="1" t="n">
        <v>42822</v>
      </c>
      <c r="K627" s="25" t="n">
        <v>2913.48</v>
      </c>
      <c r="L627" s="1" t="n">
        <v>43187</v>
      </c>
      <c r="M627" s="25" t="n">
        <v>2780.04</v>
      </c>
      <c r="N627" s="26">
        <f>M627-K627</f>
        <v/>
      </c>
      <c r="O627" s="7">
        <f>(M627/K627)-1</f>
        <v/>
      </c>
      <c r="P627" s="4" t="n"/>
    </row>
    <row hidden="1" r="628" s="64" spans="1:23">
      <c r="A628" s="1" t="n">
        <v>42505</v>
      </c>
      <c r="B628" s="25" t="n">
        <v>2983.82</v>
      </c>
      <c r="C628" s="1" t="n">
        <v>42870</v>
      </c>
      <c r="D628" s="25" t="n">
        <v>2918.69</v>
      </c>
      <c r="E628" s="25" t="n"/>
      <c r="F628" s="25" t="n"/>
      <c r="G628" s="28">
        <f>D628-B628</f>
        <v/>
      </c>
      <c r="H628" s="10">
        <f>(D628/B628)-1</f>
        <v/>
      </c>
      <c r="I628" s="7" t="n"/>
      <c r="J628" s="1" t="n">
        <v>42822</v>
      </c>
      <c r="K628" s="25" t="n">
        <v>2913.48</v>
      </c>
      <c r="L628" s="1" t="n">
        <v>43187</v>
      </c>
      <c r="M628" s="25" t="n">
        <v>2780.04</v>
      </c>
      <c r="N628" s="26">
        <f>M628-K628</f>
        <v/>
      </c>
      <c r="O628" s="7">
        <f>(M628/K628)-1</f>
        <v/>
      </c>
      <c r="P628" s="4" t="n"/>
    </row>
    <row hidden="1" r="629" s="64" spans="1:23">
      <c r="A629" s="1" t="n">
        <v>42506</v>
      </c>
      <c r="B629" s="25" t="n">
        <v>2983.82</v>
      </c>
      <c r="C629" s="1" t="n">
        <v>42871</v>
      </c>
      <c r="D629" s="25" t="n">
        <v>2883.87</v>
      </c>
      <c r="E629" s="25" t="n"/>
      <c r="F629" s="25" t="n"/>
      <c r="G629" s="28">
        <f>D629-B629</f>
        <v/>
      </c>
      <c r="H629" s="10">
        <f>(D629/B629)-1</f>
        <v/>
      </c>
      <c r="I629" s="7" t="n"/>
      <c r="J629" s="1" t="n">
        <v>42822</v>
      </c>
      <c r="K629" s="25" t="n">
        <v>2913.48</v>
      </c>
      <c r="L629" s="1" t="n">
        <v>43187</v>
      </c>
      <c r="M629" s="25" t="n">
        <v>2780.04</v>
      </c>
      <c r="N629" s="26">
        <f>M629-K629</f>
        <v/>
      </c>
      <c r="O629" s="7">
        <f>(M629/K629)-1</f>
        <v/>
      </c>
      <c r="P629" s="4" t="n"/>
    </row>
    <row hidden="1" r="630" s="64" spans="1:23">
      <c r="A630" s="1" t="n">
        <v>42507</v>
      </c>
      <c r="B630" s="25" t="n">
        <v>3007.74</v>
      </c>
      <c r="C630" s="1" t="n">
        <v>42872</v>
      </c>
      <c r="D630" s="25" t="n">
        <v>2873.22</v>
      </c>
      <c r="E630" s="25" t="n"/>
      <c r="F630" s="25" t="n"/>
      <c r="G630" s="28">
        <f>D630-B630</f>
        <v/>
      </c>
      <c r="H630" s="10">
        <f>(D630/B630)-1</f>
        <v/>
      </c>
      <c r="I630" s="7" t="n"/>
      <c r="J630" s="1" t="n">
        <v>42822</v>
      </c>
      <c r="K630" s="25" t="n">
        <v>2913.48</v>
      </c>
      <c r="L630" s="1" t="n">
        <v>43187</v>
      </c>
      <c r="M630" s="25" t="n">
        <v>2780.04</v>
      </c>
      <c r="N630" s="26">
        <f>M630-K630</f>
        <v/>
      </c>
      <c r="O630" s="7">
        <f>(M630/K630)-1</f>
        <v/>
      </c>
      <c r="P630" s="4" t="n"/>
    </row>
    <row hidden="1" r="631" s="64" spans="1:23">
      <c r="A631" s="1" t="n">
        <v>42508</v>
      </c>
      <c r="B631" s="25" t="n">
        <v>3020.89</v>
      </c>
      <c r="C631" s="1" t="n">
        <v>42873</v>
      </c>
      <c r="D631" s="25" t="n">
        <v>2893.4</v>
      </c>
      <c r="E631" s="25" t="n"/>
      <c r="F631" s="25" t="n"/>
      <c r="G631" s="28">
        <f>D631-B631</f>
        <v/>
      </c>
      <c r="H631" s="10">
        <f>(D631/B631)-1</f>
        <v/>
      </c>
      <c r="I631" s="7" t="n"/>
      <c r="J631" s="1" t="n">
        <v>42822</v>
      </c>
      <c r="K631" s="25" t="n">
        <v>2913.48</v>
      </c>
      <c r="L631" s="1" t="n">
        <v>43187</v>
      </c>
      <c r="M631" s="25" t="n">
        <v>2780.04</v>
      </c>
      <c r="N631" s="26">
        <f>M631-K631</f>
        <v/>
      </c>
      <c r="O631" s="7">
        <f>(M631/K631)-1</f>
        <v/>
      </c>
      <c r="P631" s="4" t="n"/>
    </row>
    <row hidden="1" r="632" s="64" spans="1:23">
      <c r="A632" s="1" t="n">
        <v>42509</v>
      </c>
      <c r="B632" s="25" t="n">
        <v>3031.48</v>
      </c>
      <c r="C632" s="1" t="n">
        <v>42874</v>
      </c>
      <c r="D632" s="25" t="n">
        <v>2932.16</v>
      </c>
      <c r="E632" s="25" t="n"/>
      <c r="F632" s="25" t="n"/>
      <c r="G632" s="28">
        <f>D632-B632</f>
        <v/>
      </c>
      <c r="H632" s="10">
        <f>(D632/B632)-1</f>
        <v/>
      </c>
      <c r="I632" s="7" t="n"/>
      <c r="J632" s="1" t="n">
        <v>42822</v>
      </c>
      <c r="K632" s="25" t="n">
        <v>2913.48</v>
      </c>
      <c r="L632" s="1" t="n">
        <v>43187</v>
      </c>
      <c r="M632" s="25" t="n">
        <v>2780.04</v>
      </c>
      <c r="N632" s="26">
        <f>M632-K632</f>
        <v/>
      </c>
      <c r="O632" s="7">
        <f>(M632/K632)-1</f>
        <v/>
      </c>
      <c r="P632" s="4" t="n"/>
    </row>
    <row hidden="1" r="633" s="64" spans="1:23">
      <c r="A633" s="1" t="n">
        <v>42510</v>
      </c>
      <c r="B633" s="25" t="n">
        <v>3056.06</v>
      </c>
      <c r="C633" s="1" t="n">
        <v>42875</v>
      </c>
      <c r="D633" s="74" t="n">
        <v>2889.45</v>
      </c>
      <c r="E633" s="74" t="n"/>
      <c r="F633" s="74" t="n"/>
      <c r="G633" s="28">
        <f>D633-B633</f>
        <v/>
      </c>
      <c r="H633" s="10">
        <f>(D633/B633)-1</f>
        <v/>
      </c>
      <c r="I633" s="7" t="n"/>
      <c r="J633" s="1" t="n">
        <v>42822</v>
      </c>
      <c r="K633" s="25" t="n">
        <v>2913.48</v>
      </c>
      <c r="L633" s="1" t="n">
        <v>43187</v>
      </c>
      <c r="M633" s="25" t="n">
        <v>2780.04</v>
      </c>
      <c r="N633" s="26">
        <f>M633-K633</f>
        <v/>
      </c>
      <c r="O633" s="7">
        <f>(M633/K633)-1</f>
        <v/>
      </c>
      <c r="P633" s="4" t="n"/>
    </row>
    <row hidden="1" r="634" s="64" spans="1:23">
      <c r="A634" s="1" t="n">
        <v>42511</v>
      </c>
      <c r="B634" s="25" t="n">
        <v>3047.99</v>
      </c>
      <c r="C634" s="1" t="n">
        <v>42876</v>
      </c>
      <c r="D634" s="25" t="n">
        <v>2889.45</v>
      </c>
      <c r="E634" s="25" t="n"/>
      <c r="F634" s="25" t="n"/>
      <c r="G634" s="28">
        <f>D634-B634</f>
        <v/>
      </c>
      <c r="H634" s="10">
        <f>(D634/B634)-1</f>
        <v/>
      </c>
      <c r="I634" s="7" t="n"/>
      <c r="J634" s="1" t="n">
        <v>42822</v>
      </c>
      <c r="K634" s="25" t="n">
        <v>2913.48</v>
      </c>
      <c r="L634" s="1" t="n">
        <v>43187</v>
      </c>
      <c r="M634" s="25" t="n">
        <v>2780.04</v>
      </c>
      <c r="N634" s="26">
        <f>M634-K634</f>
        <v/>
      </c>
      <c r="O634" s="7">
        <f>(M634/K634)-1</f>
        <v/>
      </c>
      <c r="P634" s="4" t="n"/>
    </row>
    <row hidden="1" r="635" s="64" spans="1:23">
      <c r="A635" s="1" t="n">
        <v>42512</v>
      </c>
      <c r="B635" s="25" t="n">
        <v>3047.99</v>
      </c>
      <c r="C635" s="1" t="n">
        <v>42877</v>
      </c>
      <c r="D635" s="74" t="n">
        <v>2889.45</v>
      </c>
      <c r="E635" s="74" t="n"/>
      <c r="F635" s="74" t="n"/>
      <c r="G635" s="28">
        <f>D635-B635</f>
        <v/>
      </c>
      <c r="H635" s="10">
        <f>(D635/B635)-1</f>
        <v/>
      </c>
      <c r="I635" s="7" t="n"/>
      <c r="J635" s="1" t="n">
        <v>42822</v>
      </c>
      <c r="K635" s="25" t="n">
        <v>2913.48</v>
      </c>
      <c r="L635" s="1" t="n">
        <v>43187</v>
      </c>
      <c r="M635" s="25" t="n">
        <v>2780.04</v>
      </c>
      <c r="N635" s="26">
        <f>M635-K635</f>
        <v/>
      </c>
      <c r="O635" s="7">
        <f>(M635/K635)-1</f>
        <v/>
      </c>
      <c r="P635" s="4" t="n"/>
    </row>
    <row hidden="1" r="636" s="64" spans="1:23">
      <c r="A636" s="1" t="n">
        <v>42513</v>
      </c>
      <c r="B636" s="25" t="n">
        <v>3047.99</v>
      </c>
      <c r="C636" s="1" t="n">
        <v>42878</v>
      </c>
      <c r="D636" s="25" t="n">
        <v>2895.12</v>
      </c>
      <c r="E636" s="25" t="n"/>
      <c r="F636" s="25" t="n"/>
      <c r="G636" s="28">
        <f>D636-B636</f>
        <v/>
      </c>
      <c r="H636" s="10">
        <f>(D636/B636)-1</f>
        <v/>
      </c>
      <c r="I636" s="7" t="n"/>
      <c r="J636" s="1" t="n">
        <v>42822</v>
      </c>
      <c r="K636" s="25" t="n">
        <v>2913.48</v>
      </c>
      <c r="L636" s="1" t="n">
        <v>43187</v>
      </c>
      <c r="M636" s="25" t="n">
        <v>2780.04</v>
      </c>
      <c r="N636" s="26">
        <f>M636-K636</f>
        <v/>
      </c>
      <c r="O636" s="7">
        <f>(M636/K636)-1</f>
        <v/>
      </c>
      <c r="P636" s="4" t="n"/>
    </row>
    <row hidden="1" r="637" s="64" spans="1:23">
      <c r="A637" s="1" t="n">
        <v>42514</v>
      </c>
      <c r="B637" s="25" t="n">
        <v>3058.25</v>
      </c>
      <c r="C637" s="1" t="n">
        <v>42879</v>
      </c>
      <c r="D637" s="25" t="n">
        <v>2904.61</v>
      </c>
      <c r="E637" s="25" t="n"/>
      <c r="F637" s="25" t="n"/>
      <c r="G637" s="28">
        <f>D637-B637</f>
        <v/>
      </c>
      <c r="H637" s="10">
        <f>(D637/B637)-1</f>
        <v/>
      </c>
      <c r="I637" s="7" t="n"/>
      <c r="J637" s="1" t="n">
        <v>42822</v>
      </c>
      <c r="K637" s="25" t="n">
        <v>2913.48</v>
      </c>
      <c r="L637" s="1" t="n">
        <v>43187</v>
      </c>
      <c r="M637" s="25" t="n">
        <v>2780.04</v>
      </c>
      <c r="N637" s="26">
        <f>M637-K637</f>
        <v/>
      </c>
      <c r="O637" s="7">
        <f>(M637/K637)-1</f>
        <v/>
      </c>
      <c r="P637" s="4" t="n"/>
    </row>
    <row hidden="1" r="638" s="64" spans="1:23">
      <c r="A638" s="1" t="n">
        <v>42515</v>
      </c>
      <c r="B638" s="25" t="n">
        <v>3059.92</v>
      </c>
      <c r="C638" s="1" t="n">
        <v>42880</v>
      </c>
      <c r="D638" s="25" t="n">
        <v>2905.29</v>
      </c>
      <c r="E638" s="25" t="n"/>
      <c r="F638" s="25" t="n"/>
      <c r="G638" s="28">
        <f>D638-B638</f>
        <v/>
      </c>
      <c r="H638" s="10">
        <f>(D638/B638)-1</f>
        <v/>
      </c>
      <c r="I638" s="7" t="n"/>
      <c r="J638" s="1" t="n">
        <v>42822</v>
      </c>
      <c r="K638" s="25" t="n">
        <v>2913.48</v>
      </c>
      <c r="L638" s="1" t="n">
        <v>43187</v>
      </c>
      <c r="M638" s="25" t="n">
        <v>2780.04</v>
      </c>
      <c r="N638" s="26">
        <f>M638-K638</f>
        <v/>
      </c>
      <c r="O638" s="7">
        <f>(M638/K638)-1</f>
        <v/>
      </c>
      <c r="P638" s="4" t="n"/>
    </row>
    <row hidden="1" r="639" s="64" spans="1:23">
      <c r="A639" s="1" t="n">
        <v>42516</v>
      </c>
      <c r="B639" s="25" t="n">
        <v>3061.89</v>
      </c>
      <c r="C639" s="1" t="n">
        <v>42881</v>
      </c>
      <c r="D639" s="25" t="n">
        <v>2911.66</v>
      </c>
      <c r="E639" s="25" t="n"/>
      <c r="F639" s="25" t="n"/>
      <c r="G639" s="28">
        <f>D639-B639</f>
        <v/>
      </c>
      <c r="H639" s="10">
        <f>(D639/B639)-1</f>
        <v/>
      </c>
      <c r="I639" s="7" t="n"/>
      <c r="J639" s="1" t="n">
        <v>42822</v>
      </c>
      <c r="K639" s="25" t="n">
        <v>2913.48</v>
      </c>
      <c r="L639" s="1" t="n">
        <v>43187</v>
      </c>
      <c r="M639" s="25" t="n">
        <v>2780.04</v>
      </c>
      <c r="N639" s="26">
        <f>M639-K639</f>
        <v/>
      </c>
      <c r="O639" s="7">
        <f>(M639/K639)-1</f>
        <v/>
      </c>
      <c r="P639" s="4" t="n"/>
    </row>
    <row hidden="1" r="640" s="64" spans="1:23">
      <c r="A640" s="1" t="n">
        <v>42517</v>
      </c>
      <c r="B640" s="25" t="n">
        <v>3054.6</v>
      </c>
      <c r="C640" s="1" t="n">
        <v>42882</v>
      </c>
      <c r="D640" s="25" t="n">
        <v>2913.47</v>
      </c>
      <c r="E640" s="25" t="n"/>
      <c r="F640" s="25" t="n"/>
      <c r="G640" s="28">
        <f>D640-B640</f>
        <v/>
      </c>
      <c r="H640" s="10">
        <f>(D640/B640)-1</f>
        <v/>
      </c>
      <c r="I640" s="7" t="n"/>
      <c r="J640" s="1" t="n">
        <v>42822</v>
      </c>
      <c r="K640" s="25" t="n">
        <v>2913.48</v>
      </c>
      <c r="L640" s="1" t="n">
        <v>43187</v>
      </c>
      <c r="M640" s="25" t="n">
        <v>2780.04</v>
      </c>
      <c r="N640" s="26">
        <f>M640-K640</f>
        <v/>
      </c>
      <c r="O640" s="7">
        <f>(M640/K640)-1</f>
        <v/>
      </c>
      <c r="P640" s="4" t="n"/>
    </row>
    <row hidden="1" r="641" s="64" spans="1:23">
      <c r="A641" s="1" t="n">
        <v>42518</v>
      </c>
      <c r="B641" s="25" t="n">
        <v>3069.17</v>
      </c>
      <c r="C641" s="1" t="n">
        <v>42883</v>
      </c>
      <c r="D641" s="25" t="n">
        <v>2913.47</v>
      </c>
      <c r="E641" s="25" t="n"/>
      <c r="F641" s="25" t="n"/>
      <c r="G641" s="28">
        <f>D641-B641</f>
        <v/>
      </c>
      <c r="H641" s="10">
        <f>(D641/B641)-1</f>
        <v/>
      </c>
      <c r="I641" s="7" t="n"/>
      <c r="J641" s="1" t="n">
        <v>42822</v>
      </c>
      <c r="K641" s="25" t="n">
        <v>2913.48</v>
      </c>
      <c r="L641" s="1" t="n">
        <v>43187</v>
      </c>
      <c r="M641" s="25" t="n">
        <v>2780.04</v>
      </c>
      <c r="N641" s="26">
        <f>M641-K641</f>
        <v/>
      </c>
      <c r="O641" s="7">
        <f>(M641/K641)-1</f>
        <v/>
      </c>
      <c r="P641" s="4" t="n"/>
    </row>
    <row hidden="1" r="642" s="64" spans="1:23">
      <c r="A642" s="1" t="n">
        <v>42519</v>
      </c>
      <c r="B642" s="25" t="n">
        <v>3069.17</v>
      </c>
      <c r="C642" s="1" t="n">
        <v>42884</v>
      </c>
      <c r="D642" s="25" t="n">
        <v>2913.47</v>
      </c>
      <c r="E642" s="25" t="n"/>
      <c r="F642" s="25" t="n"/>
      <c r="G642" s="28">
        <f>D642-B642</f>
        <v/>
      </c>
      <c r="H642" s="10">
        <f>(D642/B642)-1</f>
        <v/>
      </c>
      <c r="I642" s="7" t="n"/>
      <c r="J642" s="1" t="n">
        <v>42822</v>
      </c>
      <c r="K642" s="25" t="n">
        <v>2913.48</v>
      </c>
      <c r="L642" s="1" t="n">
        <v>43187</v>
      </c>
      <c r="M642" s="25" t="n">
        <v>2780.04</v>
      </c>
      <c r="N642" s="26">
        <f>M642-K642</f>
        <v/>
      </c>
      <c r="O642" s="7">
        <f>(M642/K642)-1</f>
        <v/>
      </c>
      <c r="P642" s="4" t="n"/>
    </row>
    <row hidden="1" r="643" s="64" spans="1:23">
      <c r="A643" s="1" t="n">
        <v>42520</v>
      </c>
      <c r="B643" s="25" t="n">
        <v>3069.17</v>
      </c>
      <c r="C643" s="1" t="n">
        <v>42885</v>
      </c>
      <c r="D643" s="25" t="n">
        <v>2913.47</v>
      </c>
      <c r="E643" s="25" t="n"/>
      <c r="F643" s="25" t="n"/>
      <c r="G643" s="28">
        <f>D643-B643</f>
        <v/>
      </c>
      <c r="H643" s="10">
        <f>(D643/B643)-1</f>
        <v/>
      </c>
      <c r="I643" s="7" t="n"/>
      <c r="J643" s="1" t="n">
        <v>42822</v>
      </c>
      <c r="K643" s="25" t="n">
        <v>2913.48</v>
      </c>
      <c r="L643" s="1" t="n">
        <v>43187</v>
      </c>
      <c r="M643" s="25" t="n">
        <v>2780.04</v>
      </c>
      <c r="N643" s="26">
        <f>M643-K643</f>
        <v/>
      </c>
      <c r="O643" s="7">
        <f>(M643/K643)-1</f>
        <v/>
      </c>
      <c r="P643" s="4" t="n"/>
    </row>
    <row hidden="1" r="644" s="64" spans="1:23">
      <c r="A644" s="1" t="n">
        <v>42521</v>
      </c>
      <c r="B644" s="25" t="n">
        <v>3069.17</v>
      </c>
      <c r="C644" s="1" t="n">
        <v>42886</v>
      </c>
      <c r="D644" s="25" t="n">
        <v>2920.42</v>
      </c>
      <c r="E644" s="25" t="n"/>
      <c r="F644" s="25" t="n"/>
      <c r="G644" s="28">
        <f>D644-B644</f>
        <v/>
      </c>
      <c r="H644" s="10">
        <f>(D644/B644)-1</f>
        <v/>
      </c>
      <c r="I644" s="7" t="n"/>
      <c r="J644" s="1" t="n">
        <v>42822</v>
      </c>
      <c r="K644" s="25" t="n">
        <v>2913.48</v>
      </c>
      <c r="L644" s="1" t="n">
        <v>43187</v>
      </c>
      <c r="M644" s="25" t="n">
        <v>2780.04</v>
      </c>
      <c r="N644" s="26">
        <f>M644-K644</f>
        <v/>
      </c>
      <c r="O644" s="7">
        <f>(M644/K644)-1</f>
        <v/>
      </c>
      <c r="P644" s="4" t="n"/>
    </row>
    <row hidden="1" r="645" s="64" spans="1:23">
      <c r="A645" s="1" t="n">
        <v>42522</v>
      </c>
      <c r="B645" s="25" t="n">
        <v>3089.65</v>
      </c>
      <c r="C645" s="1" t="n">
        <v>42887</v>
      </c>
      <c r="D645" s="25" t="n">
        <v>2921</v>
      </c>
      <c r="E645" s="25" t="n"/>
      <c r="F645" s="25" t="n"/>
      <c r="G645" s="28">
        <f>D645-B645</f>
        <v/>
      </c>
      <c r="H645" s="10">
        <f>(D645/B645)-1</f>
        <v/>
      </c>
      <c r="I645" s="7" t="n"/>
      <c r="J645" s="1" t="n">
        <v>42822</v>
      </c>
      <c r="K645" s="25" t="n">
        <v>2913.48</v>
      </c>
      <c r="L645" s="1" t="n">
        <v>43187</v>
      </c>
      <c r="M645" s="25" t="n">
        <v>2780.04</v>
      </c>
      <c r="N645" s="26">
        <f>M645-K645</f>
        <v/>
      </c>
      <c r="O645" s="7">
        <f>(M645/K645)-1</f>
        <v/>
      </c>
      <c r="P645" s="4" t="n"/>
    </row>
    <row hidden="1" r="646" s="64" spans="1:23">
      <c r="A646" s="1" t="n">
        <v>42523</v>
      </c>
      <c r="B646" s="25" t="n">
        <v>3117.83</v>
      </c>
      <c r="C646" s="1" t="n">
        <v>42888</v>
      </c>
      <c r="D646" s="25" t="n">
        <v>2895.73</v>
      </c>
      <c r="E646" s="25" t="n"/>
      <c r="F646" s="25" t="n"/>
      <c r="G646" s="28">
        <f>D646-B646</f>
        <v/>
      </c>
      <c r="H646" s="10">
        <f>(D646/B646)-1</f>
        <v/>
      </c>
      <c r="I646" s="7" t="n"/>
      <c r="J646" s="1" t="n">
        <v>42822</v>
      </c>
      <c r="K646" s="25" t="n">
        <v>2913.48</v>
      </c>
      <c r="L646" s="1" t="n">
        <v>43187</v>
      </c>
      <c r="M646" s="25" t="n">
        <v>2780.04</v>
      </c>
      <c r="N646" s="26">
        <f>M646-K646</f>
        <v/>
      </c>
      <c r="O646" s="7">
        <f>(M646/K646)-1</f>
        <v/>
      </c>
      <c r="P646" s="4" t="n"/>
    </row>
    <row hidden="1" r="647" s="64" spans="1:23">
      <c r="A647" s="1" t="n">
        <v>42524</v>
      </c>
      <c r="B647" s="25" t="n">
        <v>3110.88</v>
      </c>
      <c r="C647" s="1" t="n">
        <v>42889</v>
      </c>
      <c r="D647" s="25" t="n">
        <v>2894.72</v>
      </c>
      <c r="E647" s="25" t="n"/>
      <c r="F647" s="25" t="n"/>
      <c r="G647" s="28">
        <f>D647-B647</f>
        <v/>
      </c>
      <c r="H647" s="10">
        <f>(D647/B647)-1</f>
        <v/>
      </c>
      <c r="I647" s="7" t="n"/>
      <c r="J647" s="1" t="n">
        <v>42822</v>
      </c>
      <c r="K647" s="25" t="n">
        <v>2913.48</v>
      </c>
      <c r="L647" s="1" t="n">
        <v>43187</v>
      </c>
      <c r="M647" s="25" t="n">
        <v>2780.04</v>
      </c>
      <c r="N647" s="26">
        <f>M647-K647</f>
        <v/>
      </c>
      <c r="O647" s="7">
        <f>(M647/K647)-1</f>
        <v/>
      </c>
      <c r="P647" s="4" t="n"/>
    </row>
    <row hidden="1" r="648" s="64" spans="1:23">
      <c r="A648" s="1" t="n">
        <v>42525</v>
      </c>
      <c r="B648" s="25" t="n">
        <v>3017.71</v>
      </c>
      <c r="C648" s="1" t="n">
        <v>42890</v>
      </c>
      <c r="D648" s="25" t="n">
        <v>2894.72</v>
      </c>
      <c r="E648" s="25" t="n"/>
      <c r="F648" s="25" t="n"/>
      <c r="G648" s="28">
        <f>D648-B648</f>
        <v/>
      </c>
      <c r="H648" s="10">
        <f>(D648/B648)-1</f>
        <v/>
      </c>
      <c r="I648" s="7" t="n"/>
      <c r="J648" s="1" t="n">
        <v>42822</v>
      </c>
      <c r="K648" s="25" t="n">
        <v>2913.48</v>
      </c>
      <c r="L648" s="1" t="n">
        <v>43187</v>
      </c>
      <c r="M648" s="25" t="n">
        <v>2780.04</v>
      </c>
      <c r="N648" s="26">
        <f>M648-K648</f>
        <v/>
      </c>
      <c r="O648" s="7">
        <f>(M648/K648)-1</f>
        <v/>
      </c>
      <c r="P648" s="4" t="n"/>
    </row>
    <row hidden="1" r="649" s="64" spans="1:23">
      <c r="A649" s="1" t="n">
        <v>42526</v>
      </c>
      <c r="B649" s="25" t="n">
        <v>3017.71</v>
      </c>
      <c r="C649" s="1" t="n">
        <v>42891</v>
      </c>
      <c r="D649" s="25" t="n">
        <v>2894.72</v>
      </c>
      <c r="E649" s="25" t="n"/>
      <c r="F649" s="25" t="n"/>
      <c r="G649" s="28">
        <f>D649-B649</f>
        <v/>
      </c>
      <c r="H649" s="10">
        <f>(D649/B649)-1</f>
        <v/>
      </c>
      <c r="I649" s="7" t="n"/>
      <c r="J649" s="1" t="n">
        <v>42822</v>
      </c>
      <c r="K649" s="25" t="n">
        <v>2913.48</v>
      </c>
      <c r="L649" s="1" t="n">
        <v>43187</v>
      </c>
      <c r="M649" s="25" t="n">
        <v>2780.04</v>
      </c>
      <c r="N649" s="26">
        <f>M649-K649</f>
        <v/>
      </c>
      <c r="O649" s="7">
        <f>(M649/K649)-1</f>
        <v/>
      </c>
      <c r="P649" s="4" t="n"/>
    </row>
    <row hidden="1" r="650" s="64" spans="1:23">
      <c r="A650" s="1" t="n">
        <v>42527</v>
      </c>
      <c r="B650" s="25" t="n">
        <v>3017.71</v>
      </c>
      <c r="C650" s="1" t="n">
        <v>42892</v>
      </c>
      <c r="D650" s="25" t="n">
        <v>2895.85</v>
      </c>
      <c r="E650" s="25" t="n"/>
      <c r="F650" s="25" t="n"/>
      <c r="G650" s="28">
        <f>D650-B650</f>
        <v/>
      </c>
      <c r="H650" s="10">
        <f>(D650/B650)-1</f>
        <v/>
      </c>
      <c r="I650" s="7" t="n"/>
      <c r="J650" s="1" t="n">
        <v>42822</v>
      </c>
      <c r="K650" s="25" t="n">
        <v>2913.48</v>
      </c>
      <c r="L650" s="1" t="n">
        <v>43187</v>
      </c>
      <c r="M650" s="25" t="n">
        <v>2780.04</v>
      </c>
      <c r="N650" s="26">
        <f>M650-K650</f>
        <v/>
      </c>
      <c r="O650" s="7">
        <f>(M650/K650)-1</f>
        <v/>
      </c>
      <c r="P650" s="4" t="n"/>
    </row>
    <row hidden="1" r="651" s="64" spans="1:23">
      <c r="A651" s="1" t="n">
        <v>42528</v>
      </c>
      <c r="B651" s="25" t="n">
        <v>3017.71</v>
      </c>
      <c r="C651" s="1" t="n">
        <v>42893</v>
      </c>
      <c r="D651" s="25" t="n">
        <v>2893.76</v>
      </c>
      <c r="E651" s="25" t="n"/>
      <c r="F651" s="25" t="n"/>
      <c r="G651" s="28">
        <f>D651-B651</f>
        <v/>
      </c>
      <c r="H651" s="10">
        <f>(D651/B651)-1</f>
        <v/>
      </c>
      <c r="I651" s="7" t="n"/>
      <c r="J651" s="1" t="n">
        <v>42822</v>
      </c>
      <c r="K651" s="25" t="n">
        <v>2913.48</v>
      </c>
      <c r="L651" s="1" t="n">
        <v>43187</v>
      </c>
      <c r="M651" s="25" t="n">
        <v>2780.04</v>
      </c>
      <c r="N651" s="26">
        <f>M651-K651</f>
        <v/>
      </c>
      <c r="O651" s="7">
        <f>(M651/K651)-1</f>
        <v/>
      </c>
      <c r="P651" s="4" t="n"/>
    </row>
    <row hidden="1" r="652" s="64" spans="1:23">
      <c r="A652" s="1" t="n">
        <v>42529</v>
      </c>
      <c r="B652" s="25" t="n">
        <v>2950.95</v>
      </c>
      <c r="C652" s="1" t="n">
        <v>42894</v>
      </c>
      <c r="D652" s="25" t="n">
        <v>2907.1</v>
      </c>
      <c r="E652" s="25" t="n"/>
      <c r="F652" s="25" t="n"/>
      <c r="G652" s="28">
        <f>D652-B652</f>
        <v/>
      </c>
      <c r="H652" s="10">
        <f>(D652/B652)-1</f>
        <v/>
      </c>
      <c r="I652" s="7" t="n"/>
      <c r="J652" s="1" t="n">
        <v>42822</v>
      </c>
      <c r="K652" s="25" t="n">
        <v>2913.48</v>
      </c>
      <c r="L652" s="1" t="n">
        <v>43187</v>
      </c>
      <c r="M652" s="25" t="n">
        <v>2780.04</v>
      </c>
      <c r="N652" s="26">
        <f>M652-K652</f>
        <v/>
      </c>
      <c r="O652" s="7">
        <f>(M652/K652)-1</f>
        <v/>
      </c>
      <c r="P652" s="4" t="n"/>
    </row>
    <row hidden="1" r="653" s="64" spans="1:23">
      <c r="A653" s="1" t="n">
        <v>42530</v>
      </c>
      <c r="B653" s="25" t="n">
        <v>2905.23</v>
      </c>
      <c r="C653" s="1" t="n">
        <v>42895</v>
      </c>
      <c r="D653" s="25" t="n">
        <v>2919.82</v>
      </c>
      <c r="E653" s="25" t="n"/>
      <c r="F653" s="25" t="n"/>
      <c r="G653" s="28">
        <f>D653-B653</f>
        <v/>
      </c>
      <c r="H653" s="10">
        <f>(D653/B653)-1</f>
        <v/>
      </c>
      <c r="I653" s="7" t="n"/>
      <c r="J653" s="1" t="n">
        <v>42822</v>
      </c>
      <c r="K653" s="25" t="n">
        <v>2913.48</v>
      </c>
      <c r="L653" s="1" t="n">
        <v>43187</v>
      </c>
      <c r="M653" s="25" t="n">
        <v>2780.04</v>
      </c>
      <c r="N653" s="26">
        <f>M653-K653</f>
        <v/>
      </c>
      <c r="O653" s="7">
        <f>(M653/K653)-1</f>
        <v/>
      </c>
      <c r="P653" s="4" t="n"/>
    </row>
    <row hidden="1" r="654" s="64" spans="1:23">
      <c r="A654" s="1" t="n">
        <v>42531</v>
      </c>
      <c r="B654" s="25" t="n">
        <v>2942.13</v>
      </c>
      <c r="C654" s="1" t="n">
        <v>42896</v>
      </c>
      <c r="D654" s="25" t="n">
        <v>2919.58</v>
      </c>
      <c r="E654" s="25" t="n"/>
      <c r="F654" s="25" t="n"/>
      <c r="G654" s="28">
        <f>D654-B654</f>
        <v/>
      </c>
      <c r="H654" s="10">
        <f>(D654/B654)-1</f>
        <v/>
      </c>
      <c r="I654" s="7" t="n"/>
      <c r="J654" s="1" t="n">
        <v>42822</v>
      </c>
      <c r="K654" s="25" t="n">
        <v>2913.48</v>
      </c>
      <c r="L654" s="1" t="n">
        <v>43187</v>
      </c>
      <c r="M654" s="25" t="n">
        <v>2780.04</v>
      </c>
      <c r="N654" s="26">
        <f>M654-K654</f>
        <v/>
      </c>
      <c r="O654" s="7">
        <f>(M654/K654)-1</f>
        <v/>
      </c>
      <c r="P654" s="4" t="n"/>
    </row>
    <row hidden="1" r="655" s="64" spans="1:23">
      <c r="A655" s="1" t="n">
        <v>42532</v>
      </c>
      <c r="B655" s="25" t="n">
        <v>2969.83</v>
      </c>
      <c r="C655" s="1" t="n">
        <v>42897</v>
      </c>
      <c r="D655" s="25" t="n">
        <v>2919.58</v>
      </c>
      <c r="E655" s="25" t="n"/>
      <c r="F655" s="25" t="n"/>
      <c r="G655" s="28">
        <f>D655-B655</f>
        <v/>
      </c>
      <c r="H655" s="10">
        <f>(D655/B655)-1</f>
        <v/>
      </c>
      <c r="I655" s="7" t="n"/>
      <c r="J655" s="1" t="n">
        <v>42822</v>
      </c>
      <c r="K655" s="25" t="n">
        <v>2913.48</v>
      </c>
      <c r="L655" s="1" t="n">
        <v>43187</v>
      </c>
      <c r="M655" s="25" t="n">
        <v>2780.04</v>
      </c>
      <c r="N655" s="26">
        <f>M655-K655</f>
        <v/>
      </c>
      <c r="O655" s="7">
        <f>(M655/K655)-1</f>
        <v/>
      </c>
      <c r="P655" s="4" t="n"/>
    </row>
    <row hidden="1" r="656" s="64" spans="1:23">
      <c r="A656" s="1" t="n">
        <v>42533</v>
      </c>
      <c r="B656" s="25" t="n">
        <v>2969.83</v>
      </c>
      <c r="C656" s="1" t="n">
        <v>42898</v>
      </c>
      <c r="D656" s="25" t="n">
        <v>2919.58</v>
      </c>
      <c r="E656" s="25" t="n"/>
      <c r="F656" s="25" t="n"/>
      <c r="G656" s="28">
        <f>D656-B656</f>
        <v/>
      </c>
      <c r="H656" s="10">
        <f>(D656/B656)-1</f>
        <v/>
      </c>
      <c r="I656" s="7" t="n"/>
      <c r="J656" s="1" t="n">
        <v>42822</v>
      </c>
      <c r="K656" s="25" t="n">
        <v>2913.48</v>
      </c>
      <c r="L656" s="1" t="n">
        <v>43187</v>
      </c>
      <c r="M656" s="25" t="n">
        <v>2780.04</v>
      </c>
      <c r="N656" s="26">
        <f>M656-K656</f>
        <v/>
      </c>
      <c r="O656" s="7">
        <f>(M656/K656)-1</f>
        <v/>
      </c>
      <c r="P656" s="4" t="n"/>
    </row>
    <row hidden="1" r="657" s="64" spans="1:23">
      <c r="A657" s="1" t="n">
        <v>42534</v>
      </c>
      <c r="B657" s="25" t="n">
        <v>2969.83</v>
      </c>
      <c r="C657" s="1" t="n">
        <v>42899</v>
      </c>
      <c r="D657" s="25" t="n">
        <v>2929.2</v>
      </c>
      <c r="E657" s="25" t="n"/>
      <c r="F657" s="25" t="n"/>
      <c r="G657" s="28">
        <f>D657-B657</f>
        <v/>
      </c>
      <c r="H657" s="10">
        <f>(D657/B657)-1</f>
        <v/>
      </c>
      <c r="I657" s="7" t="n"/>
      <c r="J657" s="1" t="n">
        <v>42822</v>
      </c>
      <c r="K657" s="25" t="n">
        <v>2913.48</v>
      </c>
      <c r="L657" s="1" t="n">
        <v>43187</v>
      </c>
      <c r="M657" s="25" t="n">
        <v>2780.04</v>
      </c>
      <c r="N657" s="26">
        <f>M657-K657</f>
        <v/>
      </c>
      <c r="O657" s="7">
        <f>(M657/K657)-1</f>
        <v/>
      </c>
      <c r="P657" s="4" t="n"/>
    </row>
    <row hidden="1" r="658" s="64" spans="1:23">
      <c r="A658" s="1" t="n">
        <v>42535</v>
      </c>
      <c r="B658" s="25" t="n">
        <v>2990.35</v>
      </c>
      <c r="C658" s="1" t="n">
        <v>42900</v>
      </c>
      <c r="D658" s="25" t="n">
        <v>2933.13</v>
      </c>
      <c r="E658" s="25" t="n"/>
      <c r="F658" s="25" t="n"/>
      <c r="G658" s="28">
        <f>D658-B658</f>
        <v/>
      </c>
      <c r="H658" s="10">
        <f>(D658/B658)-1</f>
        <v/>
      </c>
      <c r="I658" s="7" t="n"/>
      <c r="J658" s="1" t="n">
        <v>42822</v>
      </c>
      <c r="K658" s="25" t="n">
        <v>2913.48</v>
      </c>
      <c r="L658" s="1" t="n">
        <v>43187</v>
      </c>
      <c r="M658" s="25" t="n">
        <v>2780.04</v>
      </c>
      <c r="N658" s="26">
        <f>M658-K658</f>
        <v/>
      </c>
      <c r="O658" s="7">
        <f>(M658/K658)-1</f>
        <v/>
      </c>
      <c r="P658" s="4" t="n"/>
    </row>
    <row hidden="1" r="659" s="64" spans="1:23">
      <c r="A659" s="1" t="n">
        <v>42536</v>
      </c>
      <c r="B659" s="25" t="n">
        <v>3003.26</v>
      </c>
      <c r="C659" s="1" t="n">
        <v>42901</v>
      </c>
      <c r="D659" s="25" t="n">
        <v>2924.75</v>
      </c>
      <c r="E659" s="25" t="n"/>
      <c r="F659" s="25" t="n"/>
      <c r="G659" s="28">
        <f>D659-B659</f>
        <v/>
      </c>
      <c r="H659" s="10">
        <f>(D659/B659)-1</f>
        <v/>
      </c>
      <c r="I659" s="7" t="n"/>
      <c r="J659" s="1" t="n">
        <v>42822</v>
      </c>
      <c r="K659" s="25" t="n">
        <v>2913.48</v>
      </c>
      <c r="L659" s="1" t="n">
        <v>43187</v>
      </c>
      <c r="M659" s="25" t="n">
        <v>2780.04</v>
      </c>
      <c r="N659" s="26">
        <f>M659-K659</f>
        <v/>
      </c>
      <c r="O659" s="7">
        <f>(M659/K659)-1</f>
        <v/>
      </c>
      <c r="P659" s="4" t="n"/>
    </row>
    <row hidden="1" r="660" s="64" spans="1:23">
      <c r="A660" s="1" t="n">
        <v>42537</v>
      </c>
      <c r="B660" s="25" t="n">
        <v>2989.56</v>
      </c>
      <c r="C660" s="1" t="n">
        <v>42902</v>
      </c>
      <c r="D660" s="25" t="n">
        <v>2953.83</v>
      </c>
      <c r="E660" s="25" t="n"/>
      <c r="F660" s="25" t="n"/>
      <c r="G660" s="28">
        <f>D660-B660</f>
        <v/>
      </c>
      <c r="H660" s="10">
        <f>(D660/B660)-1</f>
        <v/>
      </c>
      <c r="I660" s="7" t="n"/>
      <c r="J660" s="1" t="n">
        <v>42822</v>
      </c>
      <c r="K660" s="25" t="n">
        <v>2913.48</v>
      </c>
      <c r="L660" s="1" t="n">
        <v>43187</v>
      </c>
      <c r="M660" s="25" t="n">
        <v>2780.04</v>
      </c>
      <c r="N660" s="26">
        <f>M660-K660</f>
        <v/>
      </c>
      <c r="O660" s="7">
        <f>(M660/K660)-1</f>
        <v/>
      </c>
      <c r="P660" s="4" t="n"/>
    </row>
    <row hidden="1" r="661" s="64" spans="1:23">
      <c r="A661" s="1" t="n">
        <v>42538</v>
      </c>
      <c r="B661" s="25" t="n">
        <v>3019.12</v>
      </c>
      <c r="C661" s="1" t="n">
        <v>42903</v>
      </c>
      <c r="D661" s="25" t="n">
        <v>2961.68</v>
      </c>
      <c r="E661" s="25" t="n"/>
      <c r="F661" s="25" t="n"/>
      <c r="G661" s="28">
        <f>D661-B661</f>
        <v/>
      </c>
      <c r="H661" s="10">
        <f>(D661/B661)-1</f>
        <v/>
      </c>
      <c r="I661" s="7" t="n"/>
      <c r="J661" s="1" t="n">
        <v>42822</v>
      </c>
      <c r="K661" s="25" t="n">
        <v>2913.48</v>
      </c>
      <c r="L661" s="1" t="n">
        <v>43187</v>
      </c>
      <c r="M661" s="25" t="n">
        <v>2780.04</v>
      </c>
      <c r="N661" s="26">
        <f>M661-K661</f>
        <v/>
      </c>
      <c r="O661" s="7">
        <f>(M661/K661)-1</f>
        <v/>
      </c>
      <c r="P661" s="4" t="n"/>
    </row>
    <row hidden="1" r="662" s="64" spans="1:23">
      <c r="A662" s="1" t="n">
        <v>42539</v>
      </c>
      <c r="B662" s="25" t="n">
        <v>3010.91</v>
      </c>
      <c r="C662" s="1" t="n">
        <v>42904</v>
      </c>
      <c r="D662" s="25" t="n">
        <v>2961.68</v>
      </c>
      <c r="E662" s="25" t="n"/>
      <c r="F662" s="25" t="n"/>
      <c r="G662" s="28">
        <f>D662-B662</f>
        <v/>
      </c>
      <c r="H662" s="10">
        <f>(D662/B662)-1</f>
        <v/>
      </c>
      <c r="I662" s="7" t="n"/>
      <c r="J662" s="1" t="n">
        <v>42822</v>
      </c>
      <c r="K662" s="25" t="n">
        <v>2913.48</v>
      </c>
      <c r="L662" s="1" t="n">
        <v>43187</v>
      </c>
      <c r="M662" s="25" t="n">
        <v>2780.04</v>
      </c>
      <c r="N662" s="26">
        <f>M662-K662</f>
        <v/>
      </c>
      <c r="O662" s="7">
        <f>(M662/K662)-1</f>
        <v/>
      </c>
      <c r="P662" s="4" t="n"/>
    </row>
    <row hidden="1" r="663" s="64" spans="1:23">
      <c r="A663" s="1" t="n">
        <v>42540</v>
      </c>
      <c r="B663" s="25" t="n">
        <v>3010.91</v>
      </c>
      <c r="C663" s="1" t="n">
        <v>42905</v>
      </c>
      <c r="D663" s="25" t="n">
        <v>2961.68</v>
      </c>
      <c r="E663" s="25" t="n"/>
      <c r="F663" s="25" t="n"/>
      <c r="G663" s="28">
        <f>D663-B663</f>
        <v/>
      </c>
      <c r="H663" s="10">
        <f>(D663/B663)-1</f>
        <v/>
      </c>
      <c r="I663" s="7" t="n"/>
      <c r="J663" s="1" t="n">
        <v>42822</v>
      </c>
      <c r="K663" s="25" t="n">
        <v>2913.48</v>
      </c>
      <c r="L663" s="1" t="n">
        <v>43187</v>
      </c>
      <c r="M663" s="25" t="n">
        <v>2780.04</v>
      </c>
      <c r="N663" s="26">
        <f>M663-K663</f>
        <v/>
      </c>
      <c r="O663" s="7">
        <f>(M663/K663)-1</f>
        <v/>
      </c>
      <c r="P663" s="4" t="n"/>
    </row>
    <row hidden="1" r="664" s="64" spans="1:23">
      <c r="A664" s="1" t="n">
        <v>42541</v>
      </c>
      <c r="B664" s="25" t="n">
        <v>3010.91</v>
      </c>
      <c r="C664" s="1" t="n">
        <v>42906</v>
      </c>
      <c r="D664" s="25" t="n">
        <v>2961.68</v>
      </c>
      <c r="E664" s="25" t="n"/>
      <c r="F664" s="25" t="n"/>
      <c r="G664" s="28">
        <f>D664-B664</f>
        <v/>
      </c>
      <c r="H664" s="10">
        <f>(D664/B664)-1</f>
        <v/>
      </c>
      <c r="I664" s="7" t="n"/>
      <c r="J664" s="1" t="n">
        <v>42822</v>
      </c>
      <c r="K664" s="25" t="n">
        <v>2913.48</v>
      </c>
      <c r="L664" s="1" t="n">
        <v>43187</v>
      </c>
      <c r="M664" s="25" t="n">
        <v>2780.04</v>
      </c>
      <c r="N664" s="26">
        <f>M664-K664</f>
        <v/>
      </c>
      <c r="O664" s="7">
        <f>(M664/K664)-1</f>
        <v/>
      </c>
      <c r="P664" s="4" t="n"/>
    </row>
    <row hidden="1" r="665" s="64" spans="1:23">
      <c r="A665" s="1" t="n">
        <v>42542</v>
      </c>
      <c r="B665" s="25" t="n">
        <v>2972.97</v>
      </c>
      <c r="C665" s="1" t="n">
        <v>42907</v>
      </c>
      <c r="D665" s="25" t="n">
        <v>3029.53</v>
      </c>
      <c r="E665" s="25" t="n"/>
      <c r="F665" s="25" t="n"/>
      <c r="G665" s="28">
        <f>D665-B665</f>
        <v/>
      </c>
      <c r="H665" s="10">
        <f>(D665/B665)-1</f>
        <v/>
      </c>
      <c r="I665" s="7" t="n"/>
      <c r="J665" s="1" t="n">
        <v>42822</v>
      </c>
      <c r="K665" s="25" t="n">
        <v>2913.48</v>
      </c>
      <c r="L665" s="1" t="n">
        <v>43187</v>
      </c>
      <c r="M665" s="25" t="n">
        <v>2780.04</v>
      </c>
      <c r="N665" s="26">
        <f>M665-K665</f>
        <v/>
      </c>
      <c r="O665" s="7">
        <f>(M665/K665)-1</f>
        <v/>
      </c>
      <c r="P665" s="4" t="n"/>
    </row>
    <row hidden="1" r="666" s="64" spans="1:23">
      <c r="A666" s="1" t="n">
        <v>42543</v>
      </c>
      <c r="B666" s="25" t="n">
        <v>2976.29</v>
      </c>
      <c r="C666" s="1" t="n">
        <v>42908</v>
      </c>
      <c r="D666" s="25" t="n">
        <v>3053.9</v>
      </c>
      <c r="E666" s="25" t="n"/>
      <c r="F666" s="25" t="n"/>
      <c r="G666" s="28">
        <f>D666-B666</f>
        <v/>
      </c>
      <c r="H666" s="10">
        <f>(D666/B666)-1</f>
        <v/>
      </c>
      <c r="I666" s="7" t="n"/>
      <c r="J666" s="1" t="n">
        <v>42822</v>
      </c>
      <c r="K666" s="25" t="n">
        <v>2913.48</v>
      </c>
      <c r="L666" s="1" t="n">
        <v>43187</v>
      </c>
      <c r="M666" s="25" t="n">
        <v>2780.04</v>
      </c>
      <c r="N666" s="26">
        <f>M666-K666</f>
        <v/>
      </c>
      <c r="O666" s="7">
        <f>(M666/K666)-1</f>
        <v/>
      </c>
      <c r="P666" s="4" t="n"/>
    </row>
    <row hidden="1" r="667" s="64" spans="1:23">
      <c r="A667" s="1" t="n">
        <v>42544</v>
      </c>
      <c r="B667" s="25" t="n">
        <v>2944.06</v>
      </c>
      <c r="C667" s="1" t="n">
        <v>42909</v>
      </c>
      <c r="D667" s="25" t="n">
        <v>3035.83</v>
      </c>
      <c r="E667" s="25" t="n"/>
      <c r="F667" s="25" t="n"/>
      <c r="G667" s="28">
        <f>D667-B667</f>
        <v/>
      </c>
      <c r="H667" s="10">
        <f>(D667/B667)-1</f>
        <v/>
      </c>
      <c r="I667" s="7" t="n"/>
      <c r="J667" s="1" t="n">
        <v>42822</v>
      </c>
      <c r="K667" s="25" t="n">
        <v>2913.48</v>
      </c>
      <c r="L667" s="1" t="n">
        <v>43187</v>
      </c>
      <c r="M667" s="25" t="n">
        <v>2780.04</v>
      </c>
      <c r="N667" s="26">
        <f>M667-K667</f>
        <v/>
      </c>
      <c r="O667" s="7">
        <f>(M667/K667)-1</f>
        <v/>
      </c>
      <c r="P667" s="4" t="n"/>
    </row>
    <row hidden="1" r="668" s="64" spans="1:23">
      <c r="A668" s="1" t="n">
        <v>42545</v>
      </c>
      <c r="B668" s="25" t="n">
        <v>2897.53</v>
      </c>
      <c r="C668" s="1" t="n">
        <v>42910</v>
      </c>
      <c r="D668" s="25" t="n">
        <v>3010.68</v>
      </c>
      <c r="E668" s="25" t="n"/>
      <c r="F668" s="25" t="n"/>
      <c r="G668" s="28">
        <f>D668-B668</f>
        <v/>
      </c>
      <c r="H668" s="10">
        <f>(D668/B668)-1</f>
        <v/>
      </c>
      <c r="I668" s="7" t="n"/>
      <c r="J668" s="1" t="n">
        <v>42822</v>
      </c>
      <c r="K668" s="25" t="n">
        <v>2913.48</v>
      </c>
      <c r="L668" s="1" t="n">
        <v>43187</v>
      </c>
      <c r="M668" s="25" t="n">
        <v>2780.04</v>
      </c>
      <c r="N668" s="26">
        <f>M668-K668</f>
        <v/>
      </c>
      <c r="O668" s="7">
        <f>(M668/K668)-1</f>
        <v/>
      </c>
      <c r="P668" s="4" t="n"/>
    </row>
    <row hidden="1" r="669" s="64" spans="1:23">
      <c r="A669" s="1" t="n">
        <v>42546</v>
      </c>
      <c r="B669" s="25" t="n">
        <v>2972.92</v>
      </c>
      <c r="C669" s="1" t="n">
        <v>42911</v>
      </c>
      <c r="D669" s="25" t="n">
        <v>3010.68</v>
      </c>
      <c r="E669" s="25" t="n"/>
      <c r="F669" s="25" t="n"/>
      <c r="G669" s="28">
        <f>D669-B669</f>
        <v/>
      </c>
      <c r="H669" s="10">
        <f>(D669/B669)-1</f>
        <v/>
      </c>
      <c r="I669" s="7" t="n"/>
      <c r="J669" s="1" t="n">
        <v>42822</v>
      </c>
      <c r="K669" s="25" t="n">
        <v>2913.48</v>
      </c>
      <c r="L669" s="1" t="n">
        <v>43187</v>
      </c>
      <c r="M669" s="25" t="n">
        <v>2780.04</v>
      </c>
      <c r="N669" s="26">
        <f>M669-K669</f>
        <v/>
      </c>
      <c r="O669" s="7">
        <f>(M669/K669)-1</f>
        <v/>
      </c>
      <c r="P669" s="4" t="n"/>
    </row>
    <row hidden="1" r="670" s="64" spans="1:23">
      <c r="A670" s="1" t="n">
        <v>42547</v>
      </c>
      <c r="B670" s="25" t="n">
        <v>2972.92</v>
      </c>
      <c r="C670" s="1" t="n">
        <v>42912</v>
      </c>
      <c r="D670" s="25" t="n">
        <v>3010.68</v>
      </c>
      <c r="E670" s="25" t="n"/>
      <c r="F670" s="25" t="n"/>
      <c r="G670" s="28">
        <f>D670-B670</f>
        <v/>
      </c>
      <c r="H670" s="10">
        <f>(D670/B670)-1</f>
        <v/>
      </c>
      <c r="I670" s="7" t="n"/>
      <c r="J670" s="1" t="n">
        <v>42822</v>
      </c>
      <c r="K670" s="25" t="n">
        <v>2913.48</v>
      </c>
      <c r="L670" s="1" t="n">
        <v>43187</v>
      </c>
      <c r="M670" s="25" t="n">
        <v>2780.04</v>
      </c>
      <c r="N670" s="26">
        <f>M670-K670</f>
        <v/>
      </c>
      <c r="O670" s="7">
        <f>(M670/K670)-1</f>
        <v/>
      </c>
      <c r="P670" s="4" t="n"/>
    </row>
    <row hidden="1" r="671" s="64" spans="1:23">
      <c r="A671" s="1" t="n">
        <v>42548</v>
      </c>
      <c r="B671" s="25" t="n">
        <v>2972.92</v>
      </c>
      <c r="C671" s="1" t="n">
        <v>42913</v>
      </c>
      <c r="D671" s="25" t="n">
        <v>3010.68</v>
      </c>
      <c r="E671" s="25" t="n"/>
      <c r="F671" s="25" t="n"/>
      <c r="G671" s="28">
        <f>D671-B671</f>
        <v/>
      </c>
      <c r="H671" s="10">
        <f>(D671/B671)-1</f>
        <v/>
      </c>
      <c r="I671" s="7" t="n"/>
      <c r="J671" s="1" t="n">
        <v>42822</v>
      </c>
      <c r="K671" s="25" t="n">
        <v>2913.48</v>
      </c>
      <c r="L671" s="1" t="n">
        <v>43187</v>
      </c>
      <c r="M671" s="25" t="n">
        <v>2780.04</v>
      </c>
      <c r="N671" s="26">
        <f>M671-K671</f>
        <v/>
      </c>
      <c r="O671" s="7">
        <f>(M671/K671)-1</f>
        <v/>
      </c>
      <c r="P671" s="4" t="n"/>
    </row>
    <row hidden="1" r="672" s="64" spans="1:23">
      <c r="A672" s="1" t="n">
        <v>42549</v>
      </c>
      <c r="B672" s="25" t="n">
        <v>3022.78</v>
      </c>
      <c r="C672" s="1" t="n">
        <v>42914</v>
      </c>
      <c r="D672" s="25" t="n">
        <v>3025.28</v>
      </c>
      <c r="E672" s="25" t="n"/>
      <c r="F672" s="25" t="n"/>
      <c r="G672" s="28">
        <f>D672-B672</f>
        <v/>
      </c>
      <c r="H672" s="10">
        <f>(D672/B672)-1</f>
        <v/>
      </c>
      <c r="I672" s="7" t="n"/>
      <c r="J672" s="1" t="n">
        <v>42822</v>
      </c>
      <c r="K672" s="25" t="n">
        <v>2913.48</v>
      </c>
      <c r="L672" s="1" t="n">
        <v>43187</v>
      </c>
      <c r="M672" s="25" t="n">
        <v>2780.04</v>
      </c>
      <c r="N672" s="26">
        <f>M672-K672</f>
        <v/>
      </c>
      <c r="O672" s="7">
        <f>(M672/K672)-1</f>
        <v/>
      </c>
      <c r="P672" s="4" t="n"/>
    </row>
    <row hidden="1" r="673" s="64" spans="1:23">
      <c r="A673" s="1" t="n">
        <v>42550</v>
      </c>
      <c r="B673" s="25" t="n">
        <v>3005.18</v>
      </c>
      <c r="C673" s="1" t="n">
        <v>42915</v>
      </c>
      <c r="D673" s="25" t="n">
        <v>3023.64</v>
      </c>
      <c r="E673" s="25" t="n"/>
      <c r="F673" s="25" t="n"/>
      <c r="G673" s="28">
        <f>D673-B673</f>
        <v/>
      </c>
      <c r="H673" s="10">
        <f>(D673/B673)-1</f>
        <v/>
      </c>
      <c r="I673" s="7" t="n"/>
      <c r="J673" s="1" t="n">
        <v>42822</v>
      </c>
      <c r="K673" s="25" t="n">
        <v>2913.48</v>
      </c>
      <c r="L673" s="1" t="n">
        <v>43187</v>
      </c>
      <c r="M673" s="25" t="n">
        <v>2780.04</v>
      </c>
      <c r="N673" s="26">
        <f>M673-K673</f>
        <v/>
      </c>
      <c r="O673" s="7">
        <f>(M673/K673)-1</f>
        <v/>
      </c>
      <c r="P673" s="4" t="n"/>
    </row>
    <row hidden="1" r="674" s="64" spans="1:23">
      <c r="A674" s="1" t="n">
        <v>42551</v>
      </c>
      <c r="B674" s="25" t="n">
        <v>2916.15</v>
      </c>
      <c r="C674" s="1" t="n">
        <v>42916</v>
      </c>
      <c r="D674" s="25" t="n">
        <v>3038.26</v>
      </c>
      <c r="E674" s="25" t="n"/>
      <c r="F674" s="25" t="n"/>
      <c r="G674" s="28">
        <f>D674-B674</f>
        <v/>
      </c>
      <c r="H674" s="10">
        <f>(D674/B674)-1</f>
        <v/>
      </c>
      <c r="I674" s="7" t="n"/>
      <c r="J674" s="1" t="n">
        <v>42822</v>
      </c>
      <c r="K674" s="25" t="n">
        <v>2913.48</v>
      </c>
      <c r="L674" s="1" t="n">
        <v>43187</v>
      </c>
      <c r="M674" s="25" t="n">
        <v>2780.04</v>
      </c>
      <c r="N674" s="26">
        <f>M674-K674</f>
        <v/>
      </c>
      <c r="O674" s="7">
        <f>(M674/K674)-1</f>
        <v/>
      </c>
      <c r="P674" s="4" t="n"/>
    </row>
    <row hidden="1" r="675" s="64" spans="1:23">
      <c r="A675" s="1" t="n">
        <v>42552</v>
      </c>
      <c r="B675" s="25" t="n">
        <v>2919.01</v>
      </c>
      <c r="C675" s="1" t="n">
        <v>42917</v>
      </c>
      <c r="D675" s="25" t="n">
        <v>3050.43</v>
      </c>
      <c r="E675" s="25" t="n"/>
      <c r="F675" s="25" t="n"/>
      <c r="G675" s="28">
        <f>D675-B675</f>
        <v/>
      </c>
      <c r="H675" s="10">
        <f>(D675/B675)-1</f>
        <v/>
      </c>
      <c r="I675" s="7" t="n"/>
      <c r="J675" s="1" t="n">
        <v>42822</v>
      </c>
      <c r="K675" s="25" t="n">
        <v>2913.48</v>
      </c>
      <c r="L675" s="1" t="n">
        <v>43187</v>
      </c>
      <c r="M675" s="25" t="n">
        <v>2780.04</v>
      </c>
      <c r="N675" s="26">
        <f>M675-K675</f>
        <v/>
      </c>
      <c r="O675" s="7">
        <f>(M675/K675)-1</f>
        <v/>
      </c>
      <c r="P675" s="4" t="n"/>
    </row>
    <row hidden="1" r="676" s="64" spans="1:23">
      <c r="A676" s="1" t="n">
        <v>42553</v>
      </c>
      <c r="B676" s="25" t="n">
        <v>2914.38</v>
      </c>
      <c r="C676" s="1" t="n">
        <v>42918</v>
      </c>
      <c r="D676" s="25" t="n">
        <v>3050.43</v>
      </c>
      <c r="E676" s="25" t="n"/>
      <c r="F676" s="25" t="n"/>
      <c r="G676" s="28">
        <f>D676-B676</f>
        <v/>
      </c>
      <c r="H676" s="10">
        <f>(D676/B676)-1</f>
        <v/>
      </c>
      <c r="I676" s="7" t="n"/>
      <c r="J676" s="1" t="n">
        <v>42822</v>
      </c>
      <c r="K676" s="25" t="n">
        <v>2913.48</v>
      </c>
      <c r="L676" s="1" t="n">
        <v>43187</v>
      </c>
      <c r="M676" s="25" t="n">
        <v>2780.04</v>
      </c>
      <c r="N676" s="26">
        <f>M676-K676</f>
        <v/>
      </c>
      <c r="O676" s="7">
        <f>(M676/K676)-1</f>
        <v/>
      </c>
      <c r="P676" s="4" t="n"/>
    </row>
    <row hidden="1" r="677" s="64" spans="1:23">
      <c r="A677" s="1" t="n">
        <v>42554</v>
      </c>
      <c r="B677" s="25" t="n">
        <v>2914.38</v>
      </c>
      <c r="C677" s="1" t="n">
        <v>42919</v>
      </c>
      <c r="D677" s="25" t="n">
        <v>3050.43</v>
      </c>
      <c r="E677" s="25" t="n"/>
      <c r="F677" s="25" t="n"/>
      <c r="G677" s="28">
        <f>D677-B677</f>
        <v/>
      </c>
      <c r="H677" s="10">
        <f>(D677/B677)-1</f>
        <v/>
      </c>
      <c r="I677" s="7" t="n"/>
      <c r="J677" s="1" t="n">
        <v>42822</v>
      </c>
      <c r="K677" s="25" t="n">
        <v>2913.48</v>
      </c>
      <c r="L677" s="1" t="n">
        <v>43187</v>
      </c>
      <c r="M677" s="25" t="n">
        <v>2780.04</v>
      </c>
      <c r="N677" s="26">
        <f>M677-K677</f>
        <v/>
      </c>
      <c r="O677" s="7">
        <f>(M677/K677)-1</f>
        <v/>
      </c>
      <c r="P677" s="4" t="n"/>
    </row>
    <row hidden="1" r="678" s="64" spans="1:23">
      <c r="A678" s="1" t="n">
        <v>42555</v>
      </c>
      <c r="B678" s="25" t="n">
        <v>2914.38</v>
      </c>
      <c r="C678" s="1" t="n">
        <v>42920</v>
      </c>
      <c r="D678" s="25" t="n">
        <v>3050.43</v>
      </c>
      <c r="E678" s="25" t="n"/>
      <c r="F678" s="25" t="n"/>
      <c r="G678" s="28">
        <f>D678-B678</f>
        <v/>
      </c>
      <c r="H678" s="10">
        <f>(D678/B678)-1</f>
        <v/>
      </c>
      <c r="I678" s="7" t="n"/>
      <c r="J678" s="1" t="n">
        <v>42822</v>
      </c>
      <c r="K678" s="25" t="n">
        <v>2913.48</v>
      </c>
      <c r="L678" s="1" t="n">
        <v>43187</v>
      </c>
      <c r="M678" s="25" t="n">
        <v>2780.04</v>
      </c>
      <c r="N678" s="26">
        <f>M678-K678</f>
        <v/>
      </c>
      <c r="O678" s="7">
        <f>(M678/K678)-1</f>
        <v/>
      </c>
      <c r="P678" s="4" t="n"/>
    </row>
    <row hidden="1" r="679" s="64" spans="1:23">
      <c r="A679" s="1" t="n">
        <v>42556</v>
      </c>
      <c r="B679" s="25" t="n">
        <v>2914.38</v>
      </c>
      <c r="C679" s="1" t="n">
        <v>42921</v>
      </c>
      <c r="D679" s="25" t="n">
        <v>3050.43</v>
      </c>
      <c r="E679" s="25" t="n"/>
      <c r="F679" s="25" t="n"/>
      <c r="G679" s="28">
        <f>D679-B679</f>
        <v/>
      </c>
      <c r="H679" s="10">
        <f>(D679/B679)-1</f>
        <v/>
      </c>
      <c r="I679" s="7" t="n"/>
      <c r="J679" s="1" t="n">
        <v>42822</v>
      </c>
      <c r="K679" s="25" t="n">
        <v>2913.48</v>
      </c>
      <c r="L679" s="1" t="n">
        <v>43187</v>
      </c>
      <c r="M679" s="25" t="n">
        <v>2780.04</v>
      </c>
      <c r="N679" s="26">
        <f>M679-K679</f>
        <v/>
      </c>
      <c r="O679" s="7">
        <f>(M679/K679)-1</f>
        <v/>
      </c>
      <c r="P679" s="4" t="n"/>
    </row>
    <row hidden="1" r="680" s="64" spans="1:23">
      <c r="A680" s="1" t="n">
        <v>42557</v>
      </c>
      <c r="B680" s="25" t="n">
        <v>2966.87</v>
      </c>
      <c r="C680" s="1" t="n">
        <v>42922</v>
      </c>
      <c r="D680" s="25" t="n">
        <v>3068.93</v>
      </c>
      <c r="E680" s="25" t="n"/>
      <c r="F680" s="25" t="n"/>
      <c r="G680" s="28">
        <f>D680-B680</f>
        <v/>
      </c>
      <c r="H680" s="10">
        <f>(D680/B680)-1</f>
        <v/>
      </c>
      <c r="I680" s="7" t="n"/>
      <c r="J680" s="1" t="n">
        <v>42822</v>
      </c>
      <c r="K680" s="25" t="n">
        <v>2913.48</v>
      </c>
      <c r="L680" s="1" t="n">
        <v>43187</v>
      </c>
      <c r="M680" s="25" t="n">
        <v>2780.04</v>
      </c>
      <c r="N680" s="26">
        <f>M680-K680</f>
        <v/>
      </c>
      <c r="O680" s="7">
        <f>(M680/K680)-1</f>
        <v/>
      </c>
      <c r="P680" s="4" t="n"/>
    </row>
    <row hidden="1" r="681" s="64" spans="1:23">
      <c r="A681" s="1" t="n">
        <v>42558</v>
      </c>
      <c r="B681" s="25" t="n">
        <v>3003.2</v>
      </c>
      <c r="C681" s="1" t="n">
        <v>42923</v>
      </c>
      <c r="D681" s="25" t="n">
        <v>3084.19</v>
      </c>
      <c r="E681" s="25" t="n"/>
      <c r="F681" s="25" t="n"/>
      <c r="G681" s="28">
        <f>D681-B681</f>
        <v/>
      </c>
      <c r="H681" s="10">
        <f>(D681/B681)-1</f>
        <v/>
      </c>
      <c r="I681" s="7" t="n"/>
      <c r="J681" s="1" t="n">
        <v>42822</v>
      </c>
      <c r="K681" s="25" t="n">
        <v>2913.48</v>
      </c>
      <c r="L681" s="1" t="n">
        <v>43187</v>
      </c>
      <c r="M681" s="25" t="n">
        <v>2780.04</v>
      </c>
      <c r="N681" s="26">
        <f>M681-K681</f>
        <v/>
      </c>
      <c r="O681" s="7">
        <f>(M681/K681)-1</f>
        <v/>
      </c>
      <c r="P681" s="4" t="n"/>
    </row>
    <row hidden="1" r="682" s="64" spans="1:23">
      <c r="A682" s="1" t="n">
        <v>42559</v>
      </c>
      <c r="B682" s="25" t="n">
        <v>2986.49</v>
      </c>
      <c r="C682" s="1" t="n">
        <v>42924</v>
      </c>
      <c r="D682" s="25" t="n">
        <v>3092.65</v>
      </c>
      <c r="E682" s="25" t="n"/>
      <c r="F682" s="25" t="n"/>
      <c r="G682" s="28">
        <f>D682-B682</f>
        <v/>
      </c>
      <c r="H682" s="10">
        <f>(D682/B682)-1</f>
        <v/>
      </c>
      <c r="I682" s="7" t="n"/>
      <c r="J682" s="1" t="n">
        <v>42822</v>
      </c>
      <c r="K682" s="25" t="n">
        <v>2913.48</v>
      </c>
      <c r="L682" s="1" t="n">
        <v>43187</v>
      </c>
      <c r="M682" s="25" t="n">
        <v>2780.04</v>
      </c>
      <c r="N682" s="26">
        <f>M682-K682</f>
        <v/>
      </c>
      <c r="O682" s="7">
        <f>(M682/K682)-1</f>
        <v/>
      </c>
      <c r="P682" s="4" t="n"/>
    </row>
    <row hidden="1" r="683" s="64" spans="1:23">
      <c r="A683" s="1" t="n">
        <v>42560</v>
      </c>
      <c r="B683" s="25" t="n">
        <v>2952.64</v>
      </c>
      <c r="C683" s="1" t="n">
        <v>42925</v>
      </c>
      <c r="D683" s="25" t="n">
        <v>3092.65</v>
      </c>
      <c r="E683" s="25" t="n"/>
      <c r="F683" s="25" t="n"/>
      <c r="G683" s="28">
        <f>D683-B683</f>
        <v/>
      </c>
      <c r="H683" s="10">
        <f>(D683/B683)-1</f>
        <v/>
      </c>
      <c r="I683" s="7" t="n"/>
      <c r="J683" s="1" t="n">
        <v>42822</v>
      </c>
      <c r="K683" s="25" t="n">
        <v>2913.48</v>
      </c>
      <c r="L683" s="1" t="n">
        <v>43187</v>
      </c>
      <c r="M683" s="25" t="n">
        <v>2780.04</v>
      </c>
      <c r="N683" s="26">
        <f>M683-K683</f>
        <v/>
      </c>
      <c r="O683" s="7">
        <f>(M683/K683)-1</f>
        <v/>
      </c>
      <c r="P683" s="4" t="n"/>
    </row>
    <row hidden="1" r="684" s="64" spans="1:23">
      <c r="A684" s="1" t="n">
        <v>42561</v>
      </c>
      <c r="B684" s="25" t="n">
        <v>2952.64</v>
      </c>
      <c r="C684" s="1" t="n">
        <v>42926</v>
      </c>
      <c r="D684" s="25" t="n">
        <v>3092.65</v>
      </c>
      <c r="E684" s="25" t="n"/>
      <c r="F684" s="25" t="n"/>
      <c r="G684" s="28">
        <f>D684-B684</f>
        <v/>
      </c>
      <c r="H684" s="10">
        <f>(D684/B684)-1</f>
        <v/>
      </c>
      <c r="I684" s="7" t="n"/>
      <c r="J684" s="1" t="n">
        <v>42822</v>
      </c>
      <c r="K684" s="25" t="n">
        <v>2913.48</v>
      </c>
      <c r="L684" s="1" t="n">
        <v>43187</v>
      </c>
      <c r="M684" s="25" t="n">
        <v>2780.04</v>
      </c>
      <c r="N684" s="26">
        <f>M684-K684</f>
        <v/>
      </c>
      <c r="O684" s="7">
        <f>(M684/K684)-1</f>
        <v/>
      </c>
      <c r="P684" s="4" t="n"/>
    </row>
    <row hidden="1" r="685" s="64" spans="1:23">
      <c r="A685" s="1" t="n">
        <v>42562</v>
      </c>
      <c r="B685" s="25" t="n">
        <v>2952.64</v>
      </c>
      <c r="C685" s="1" t="n">
        <v>42927</v>
      </c>
      <c r="D685" s="25" t="n">
        <v>3067.33</v>
      </c>
      <c r="E685" s="25" t="n"/>
      <c r="F685" s="25" t="n"/>
      <c r="G685" s="28">
        <f>D685-B685</f>
        <v/>
      </c>
      <c r="H685" s="10">
        <f>(D685/B685)-1</f>
        <v/>
      </c>
      <c r="I685" s="7" t="n"/>
      <c r="J685" s="1" t="n">
        <v>42822</v>
      </c>
      <c r="K685" s="25" t="n">
        <v>2913.48</v>
      </c>
      <c r="L685" s="1" t="n">
        <v>43187</v>
      </c>
      <c r="M685" s="25" t="n">
        <v>2780.04</v>
      </c>
      <c r="N685" s="26">
        <f>M685-K685</f>
        <v/>
      </c>
      <c r="O685" s="7">
        <f>(M685/K685)-1</f>
        <v/>
      </c>
      <c r="P685" s="4" t="n"/>
    </row>
    <row hidden="1" r="686" s="64" spans="1:23">
      <c r="A686" s="1" t="n">
        <v>42563</v>
      </c>
      <c r="B686" s="25" t="n">
        <v>2929.81</v>
      </c>
      <c r="C686" s="1" t="n">
        <v>42928</v>
      </c>
      <c r="D686" s="25" t="n">
        <v>3067.73</v>
      </c>
      <c r="E686" s="25" t="n"/>
      <c r="F686" s="25" t="n"/>
      <c r="G686" s="28">
        <f>D686-B686</f>
        <v/>
      </c>
      <c r="H686" s="10">
        <f>(D686/B686)-1</f>
        <v/>
      </c>
      <c r="I686" s="7" t="n"/>
      <c r="J686" s="1" t="n">
        <v>42822</v>
      </c>
      <c r="K686" s="25" t="n">
        <v>2913.48</v>
      </c>
      <c r="L686" s="1" t="n">
        <v>43187</v>
      </c>
      <c r="M686" s="25" t="n">
        <v>2780.04</v>
      </c>
      <c r="N686" s="26">
        <f>M686-K686</f>
        <v/>
      </c>
      <c r="O686" s="7">
        <f>(M686/K686)-1</f>
        <v/>
      </c>
      <c r="P686" s="4" t="n"/>
    </row>
    <row hidden="1" r="687" s="64" spans="1:23">
      <c r="A687" s="1" t="n">
        <v>42564</v>
      </c>
      <c r="B687" s="25" t="n">
        <v>2911.91</v>
      </c>
      <c r="C687" s="1" t="n">
        <v>42929</v>
      </c>
      <c r="D687" s="25" t="n">
        <v>3052.3</v>
      </c>
      <c r="E687" s="25" t="n"/>
      <c r="F687" s="25" t="n"/>
      <c r="G687" s="28">
        <f>D687-B687</f>
        <v/>
      </c>
      <c r="H687" s="10">
        <f>(D687/B687)-1</f>
        <v/>
      </c>
      <c r="I687" s="7" t="n"/>
      <c r="J687" s="1" t="n">
        <v>42822</v>
      </c>
      <c r="K687" s="25" t="n">
        <v>2913.48</v>
      </c>
      <c r="L687" s="1" t="n">
        <v>43187</v>
      </c>
      <c r="M687" s="25" t="n">
        <v>2780.04</v>
      </c>
      <c r="N687" s="26">
        <f>M687-K687</f>
        <v/>
      </c>
      <c r="O687" s="7">
        <f>(M687/K687)-1</f>
        <v/>
      </c>
      <c r="P687" s="4" t="n"/>
    </row>
    <row hidden="1" r="688" s="64" spans="1:23">
      <c r="A688" s="1" t="n">
        <v>42565</v>
      </c>
      <c r="B688" s="25" t="n">
        <v>2936.53</v>
      </c>
      <c r="C688" s="1" t="n">
        <v>42930</v>
      </c>
      <c r="D688" s="25" t="n">
        <v>3043.6</v>
      </c>
      <c r="E688" s="25" t="n"/>
      <c r="F688" s="25" t="n"/>
      <c r="G688" s="28">
        <f>D688-B688</f>
        <v/>
      </c>
      <c r="H688" s="10">
        <f>(D688/B688)-1</f>
        <v/>
      </c>
      <c r="I688" s="7" t="n"/>
      <c r="J688" s="1" t="n">
        <v>42822</v>
      </c>
      <c r="K688" s="25" t="n">
        <v>2913.48</v>
      </c>
      <c r="L688" s="1" t="n">
        <v>43187</v>
      </c>
      <c r="M688" s="25" t="n">
        <v>2780.04</v>
      </c>
      <c r="N688" s="26">
        <f>M688-K688</f>
        <v/>
      </c>
      <c r="O688" s="7">
        <f>(M688/K688)-1</f>
        <v/>
      </c>
      <c r="P688" s="4" t="n"/>
    </row>
    <row hidden="1" r="689" s="64" spans="1:23">
      <c r="A689" s="1" t="n">
        <v>42566</v>
      </c>
      <c r="B689" s="25" t="n">
        <v>2923.07</v>
      </c>
      <c r="C689" s="1" t="n">
        <v>42931</v>
      </c>
      <c r="D689" s="25" t="n">
        <v>3019.56</v>
      </c>
      <c r="E689" s="25" t="n"/>
      <c r="F689" s="25" t="n"/>
      <c r="G689" s="28">
        <f>D689-B689</f>
        <v/>
      </c>
      <c r="H689" s="10">
        <f>(D689/B689)-1</f>
        <v/>
      </c>
      <c r="I689" s="7" t="n"/>
      <c r="J689" s="1" t="n">
        <v>42822</v>
      </c>
      <c r="K689" s="25" t="n">
        <v>2913.48</v>
      </c>
      <c r="L689" s="1" t="n">
        <v>43187</v>
      </c>
      <c r="M689" s="25" t="n">
        <v>2780.04</v>
      </c>
      <c r="N689" s="26">
        <f>M689-K689</f>
        <v/>
      </c>
      <c r="O689" s="7">
        <f>(M689/K689)-1</f>
        <v/>
      </c>
      <c r="P689" s="4" t="n"/>
    </row>
    <row hidden="1" r="690" s="64" spans="1:23">
      <c r="A690" s="1" t="n">
        <v>42567</v>
      </c>
      <c r="B690" s="25" t="n">
        <v>2923.46</v>
      </c>
      <c r="C690" s="1" t="n">
        <v>42932</v>
      </c>
      <c r="D690" s="25" t="n">
        <v>3019.56</v>
      </c>
      <c r="E690" s="25" t="n"/>
      <c r="F690" s="25" t="n"/>
      <c r="G690" s="28">
        <f>D690-B690</f>
        <v/>
      </c>
      <c r="H690" s="10">
        <f>(D690/B690)-1</f>
        <v/>
      </c>
      <c r="I690" s="7" t="n"/>
      <c r="J690" s="1" t="n">
        <v>42822</v>
      </c>
      <c r="K690" s="25" t="n">
        <v>2913.48</v>
      </c>
      <c r="L690" s="1" t="n">
        <v>43187</v>
      </c>
      <c r="M690" s="25" t="n">
        <v>2780.04</v>
      </c>
      <c r="N690" s="26">
        <f>M690-K690</f>
        <v/>
      </c>
      <c r="O690" s="7">
        <f>(M690/K690)-1</f>
        <v/>
      </c>
      <c r="P690" s="4" t="n"/>
    </row>
    <row hidden="1" r="691" s="64" spans="1:23">
      <c r="A691" s="1" t="n">
        <v>42568</v>
      </c>
      <c r="B691" s="25" t="n">
        <v>2923.46</v>
      </c>
      <c r="C691" s="1" t="n">
        <v>42933</v>
      </c>
      <c r="D691" s="25" t="n">
        <v>3019.56</v>
      </c>
      <c r="E691" s="25" t="n"/>
      <c r="F691" s="25" t="n"/>
      <c r="G691" s="28">
        <f>D691-B691</f>
        <v/>
      </c>
      <c r="H691" s="10">
        <f>(D691/B691)-1</f>
        <v/>
      </c>
      <c r="I691" s="7" t="n"/>
      <c r="J691" s="1" t="n">
        <v>42822</v>
      </c>
      <c r="K691" s="25" t="n">
        <v>2913.48</v>
      </c>
      <c r="L691" s="1" t="n">
        <v>43187</v>
      </c>
      <c r="M691" s="25" t="n">
        <v>2780.04</v>
      </c>
      <c r="N691" s="26">
        <f>M691-K691</f>
        <v/>
      </c>
      <c r="O691" s="7">
        <f>(M691/K691)-1</f>
        <v/>
      </c>
      <c r="P691" s="4" t="n"/>
    </row>
    <row hidden="1" r="692" s="64" spans="1:23">
      <c r="A692" s="1" t="n">
        <v>42569</v>
      </c>
      <c r="B692" s="25" t="n">
        <v>2923.46</v>
      </c>
      <c r="C692" s="1" t="n">
        <v>42934</v>
      </c>
      <c r="D692" s="25" t="n">
        <v>3030.6</v>
      </c>
      <c r="E692" s="25" t="n"/>
      <c r="F692" s="25" t="n"/>
      <c r="G692" s="28">
        <f>D692-B692</f>
        <v/>
      </c>
      <c r="H692" s="10">
        <f>(D692/B692)-1</f>
        <v/>
      </c>
      <c r="I692" s="7" t="n"/>
      <c r="J692" s="1" t="n">
        <v>42822</v>
      </c>
      <c r="K692" s="25" t="n">
        <v>2913.48</v>
      </c>
      <c r="L692" s="1" t="n">
        <v>43187</v>
      </c>
      <c r="M692" s="25" t="n">
        <v>2780.04</v>
      </c>
      <c r="N692" s="26">
        <f>M692-K692</f>
        <v/>
      </c>
      <c r="O692" s="7">
        <f>(M692/K692)-1</f>
        <v/>
      </c>
      <c r="P692" s="4" t="n"/>
    </row>
    <row hidden="1" r="693" s="64" spans="1:23">
      <c r="A693" s="1" t="n">
        <v>42570</v>
      </c>
      <c r="B693" s="25" t="n">
        <v>2928.3</v>
      </c>
      <c r="C693" s="1" t="n">
        <v>42935</v>
      </c>
      <c r="D693" s="25" t="n">
        <v>3013.26</v>
      </c>
      <c r="E693" s="25" t="n"/>
      <c r="F693" s="25" t="n"/>
      <c r="G693" s="28">
        <f>D693-B693</f>
        <v/>
      </c>
      <c r="H693" s="10">
        <f>(D693/B693)-1</f>
        <v/>
      </c>
      <c r="I693" s="7" t="n"/>
      <c r="J693" s="1" t="n">
        <v>42822</v>
      </c>
      <c r="K693" s="25" t="n">
        <v>2913.48</v>
      </c>
      <c r="L693" s="1" t="n">
        <v>43187</v>
      </c>
      <c r="M693" s="25" t="n">
        <v>2780.04</v>
      </c>
      <c r="N693" s="26">
        <f>M693-K693</f>
        <v/>
      </c>
      <c r="O693" s="7">
        <f>(M693/K693)-1</f>
        <v/>
      </c>
      <c r="P693" s="4" t="n"/>
    </row>
    <row hidden="1" r="694" s="64" spans="1:23">
      <c r="A694" s="1" t="n">
        <v>42571</v>
      </c>
      <c r="B694" s="25" t="n">
        <v>2931.08</v>
      </c>
      <c r="C694" s="1" t="n">
        <v>42936</v>
      </c>
      <c r="D694" s="25" t="n">
        <v>3010</v>
      </c>
      <c r="E694" s="25" t="n"/>
      <c r="F694" s="25" t="n"/>
      <c r="G694" s="28">
        <f>D694-B694</f>
        <v/>
      </c>
      <c r="H694" s="10">
        <f>(D694/B694)-1</f>
        <v/>
      </c>
      <c r="I694" s="7" t="n"/>
      <c r="J694" s="1" t="n">
        <v>42822</v>
      </c>
      <c r="K694" s="25" t="n">
        <v>2913.48</v>
      </c>
      <c r="L694" s="1" t="n">
        <v>43187</v>
      </c>
      <c r="M694" s="25" t="n">
        <v>2780.04</v>
      </c>
      <c r="N694" s="26">
        <f>M694-K694</f>
        <v/>
      </c>
      <c r="O694" s="7">
        <f>(M694/K694)-1</f>
        <v/>
      </c>
      <c r="P694" s="4" t="n"/>
    </row>
    <row hidden="1" r="695" s="64" spans="1:23">
      <c r="A695" s="1" t="n">
        <v>42572</v>
      </c>
      <c r="B695" s="25" t="n">
        <v>2931.08</v>
      </c>
      <c r="C695" s="1" t="n">
        <v>42937</v>
      </c>
      <c r="D695" s="25" t="n">
        <v>3010</v>
      </c>
      <c r="E695" s="25" t="n"/>
      <c r="F695" s="25" t="n"/>
      <c r="G695" s="28">
        <f>D695-B695</f>
        <v/>
      </c>
      <c r="H695" s="10">
        <f>(D695/B695)-1</f>
        <v/>
      </c>
      <c r="I695" s="7" t="n"/>
      <c r="J695" s="1" t="n">
        <v>42822</v>
      </c>
      <c r="K695" s="25" t="n">
        <v>2913.48</v>
      </c>
      <c r="L695" s="1" t="n">
        <v>43187</v>
      </c>
      <c r="M695" s="25" t="n">
        <v>2780.04</v>
      </c>
      <c r="N695" s="26">
        <f>M695-K695</f>
        <v/>
      </c>
      <c r="O695" s="7">
        <f>(M695/K695)-1</f>
        <v/>
      </c>
      <c r="P695" s="4" t="n"/>
    </row>
    <row hidden="1" r="696" s="64" spans="1:23">
      <c r="A696" s="1" t="n">
        <v>42573</v>
      </c>
      <c r="B696" s="25" t="n">
        <v>2928.67</v>
      </c>
      <c r="C696" s="1" t="n">
        <v>42938</v>
      </c>
      <c r="D696" s="25" t="n">
        <v>3010.77</v>
      </c>
      <c r="E696" s="25" t="n"/>
      <c r="F696" s="25" t="n"/>
      <c r="G696" s="28">
        <f>D696-B696</f>
        <v/>
      </c>
      <c r="H696" s="10">
        <f>(D696/B696)-1</f>
        <v/>
      </c>
      <c r="I696" s="7" t="n"/>
      <c r="J696" s="1" t="n">
        <v>42822</v>
      </c>
      <c r="K696" s="25" t="n">
        <v>2913.48</v>
      </c>
      <c r="L696" s="1" t="n">
        <v>43187</v>
      </c>
      <c r="M696" s="25" t="n">
        <v>2780.04</v>
      </c>
      <c r="N696" s="26">
        <f>M696-K696</f>
        <v/>
      </c>
      <c r="O696" s="7">
        <f>(M696/K696)-1</f>
        <v/>
      </c>
      <c r="P696" s="4" t="n"/>
    </row>
    <row hidden="1" r="697" s="64" spans="1:23">
      <c r="A697" s="1" t="n">
        <v>42574</v>
      </c>
      <c r="B697" s="25" t="n">
        <v>2942.65</v>
      </c>
      <c r="C697" s="1" t="n">
        <v>42939</v>
      </c>
      <c r="D697" s="25" t="n">
        <v>3010.77</v>
      </c>
      <c r="E697" s="25" t="n"/>
      <c r="F697" s="25" t="n"/>
      <c r="G697" s="28">
        <f>D697-B697</f>
        <v/>
      </c>
      <c r="H697" s="10">
        <f>(D697/B697)-1</f>
        <v/>
      </c>
      <c r="I697" s="7" t="n"/>
      <c r="J697" s="1" t="n">
        <v>42822</v>
      </c>
      <c r="K697" s="25" t="n">
        <v>2913.48</v>
      </c>
      <c r="L697" s="1" t="n">
        <v>43187</v>
      </c>
      <c r="M697" s="25" t="n">
        <v>2780.04</v>
      </c>
      <c r="N697" s="26">
        <f>M697-K697</f>
        <v/>
      </c>
      <c r="O697" s="7">
        <f>(M697/K697)-1</f>
        <v/>
      </c>
      <c r="P697" s="4" t="n"/>
    </row>
    <row hidden="1" r="698" s="64" spans="1:23">
      <c r="A698" s="1" t="n">
        <v>42575</v>
      </c>
      <c r="B698" s="25" t="n">
        <v>2942.65</v>
      </c>
      <c r="C698" s="1" t="n">
        <v>42940</v>
      </c>
      <c r="D698" s="25" t="n">
        <v>3010.77</v>
      </c>
      <c r="E698" s="25" t="n"/>
      <c r="F698" s="25" t="n"/>
      <c r="G698" s="28">
        <f>D698-B698</f>
        <v/>
      </c>
      <c r="H698" s="10">
        <f>(D698/B698)-1</f>
        <v/>
      </c>
      <c r="I698" s="7" t="n"/>
      <c r="J698" s="1" t="n">
        <v>42822</v>
      </c>
      <c r="K698" s="25" t="n">
        <v>2913.48</v>
      </c>
      <c r="L698" s="1" t="n">
        <v>43187</v>
      </c>
      <c r="M698" s="25" t="n">
        <v>2780.04</v>
      </c>
      <c r="N698" s="26">
        <f>M698-K698</f>
        <v/>
      </c>
      <c r="O698" s="7">
        <f>(M698/K698)-1</f>
        <v/>
      </c>
      <c r="P698" s="4" t="n"/>
    </row>
    <row hidden="1" r="699" s="64" spans="1:23">
      <c r="A699" s="1" t="n">
        <v>42576</v>
      </c>
      <c r="B699" s="25" t="n">
        <v>2942.65</v>
      </c>
      <c r="C699" s="1" t="n">
        <v>42941</v>
      </c>
      <c r="D699" s="25" t="n">
        <v>3023.67</v>
      </c>
      <c r="E699" s="25" t="n"/>
      <c r="F699" s="25" t="n"/>
      <c r="G699" s="28">
        <f>D699-B699</f>
        <v/>
      </c>
      <c r="H699" s="10">
        <f>(D699/B699)-1</f>
        <v/>
      </c>
      <c r="I699" s="7" t="n"/>
      <c r="J699" s="1" t="n">
        <v>42822</v>
      </c>
      <c r="K699" s="25" t="n">
        <v>2913.48</v>
      </c>
      <c r="L699" s="1" t="n">
        <v>43187</v>
      </c>
      <c r="M699" s="25" t="n">
        <v>2780.04</v>
      </c>
      <c r="N699" s="26">
        <f>M699-K699</f>
        <v/>
      </c>
      <c r="O699" s="7">
        <f>(M699/K699)-1</f>
        <v/>
      </c>
      <c r="P699" s="4" t="n"/>
    </row>
    <row hidden="1" r="700" s="64" spans="1:23">
      <c r="A700" s="1" t="n">
        <v>42577</v>
      </c>
      <c r="B700" s="25" t="n">
        <v>2997.25</v>
      </c>
      <c r="C700" s="1" t="n">
        <v>42942</v>
      </c>
      <c r="D700" s="25" t="n">
        <v>3026.55</v>
      </c>
      <c r="E700" s="25" t="n"/>
      <c r="F700" s="25" t="n"/>
      <c r="G700" s="28">
        <f>D700-B700</f>
        <v/>
      </c>
      <c r="H700" s="10">
        <f>(D700/B700)-1</f>
        <v/>
      </c>
      <c r="I700" s="7" t="n"/>
      <c r="J700" s="1" t="n">
        <v>42822</v>
      </c>
      <c r="K700" s="25" t="n">
        <v>2913.48</v>
      </c>
      <c r="L700" s="1" t="n">
        <v>43187</v>
      </c>
      <c r="M700" s="25" t="n">
        <v>2780.04</v>
      </c>
      <c r="N700" s="26">
        <f>M700-K700</f>
        <v/>
      </c>
      <c r="O700" s="7">
        <f>(M700/K700)-1</f>
        <v/>
      </c>
      <c r="P700" s="4" t="n"/>
    </row>
    <row hidden="1" r="701" s="64" spans="1:23">
      <c r="A701" s="1" t="n">
        <v>42578</v>
      </c>
      <c r="B701" s="25" t="n">
        <v>3055.15</v>
      </c>
      <c r="C701" s="1" t="n">
        <v>42943</v>
      </c>
      <c r="D701" s="25" t="n">
        <v>3026.22</v>
      </c>
      <c r="E701" s="25" t="n"/>
      <c r="F701" s="25" t="n"/>
      <c r="G701" s="28">
        <f>D701-B701</f>
        <v/>
      </c>
      <c r="H701" s="10">
        <f>(D701/B701)-1</f>
        <v/>
      </c>
      <c r="I701" s="7" t="n"/>
      <c r="J701" s="1" t="n">
        <v>42822</v>
      </c>
      <c r="K701" s="25" t="n">
        <v>2913.48</v>
      </c>
      <c r="L701" s="1" t="n">
        <v>43187</v>
      </c>
      <c r="M701" s="25" t="n">
        <v>2780.04</v>
      </c>
      <c r="N701" s="26">
        <f>M701-K701</f>
        <v/>
      </c>
      <c r="O701" s="7">
        <f>(M701/K701)-1</f>
        <v/>
      </c>
      <c r="P701" s="4" t="n"/>
    </row>
    <row hidden="1" r="702" s="64" spans="1:23">
      <c r="A702" s="1" t="n">
        <v>42579</v>
      </c>
      <c r="B702" s="25" t="n">
        <v>3073.52</v>
      </c>
      <c r="C702" s="1" t="n">
        <v>42944</v>
      </c>
      <c r="D702" s="25" t="n">
        <v>3002.94</v>
      </c>
      <c r="E702" s="25" t="n"/>
      <c r="F702" s="25" t="n"/>
      <c r="G702" s="28">
        <f>D702-B702</f>
        <v/>
      </c>
      <c r="H702" s="10">
        <f>(D702/B702)-1</f>
        <v/>
      </c>
      <c r="I702" s="7" t="n"/>
      <c r="J702" s="1" t="n">
        <v>42822</v>
      </c>
      <c r="K702" s="25" t="n">
        <v>2913.48</v>
      </c>
      <c r="L702" s="1" t="n">
        <v>43187</v>
      </c>
      <c r="M702" s="25" t="n">
        <v>2780.04</v>
      </c>
      <c r="N702" s="26">
        <f>M702-K702</f>
        <v/>
      </c>
      <c r="O702" s="7">
        <f>(M702/K702)-1</f>
        <v/>
      </c>
      <c r="P702" s="4" t="n"/>
    </row>
    <row hidden="1" r="703" s="64" spans="1:23">
      <c r="A703" s="1" t="n">
        <v>42580</v>
      </c>
      <c r="B703" s="25" t="n">
        <v>3091.78</v>
      </c>
      <c r="C703" s="1" t="n">
        <v>42945</v>
      </c>
      <c r="D703" s="25" t="n">
        <v>2995.23</v>
      </c>
      <c r="E703" s="25" t="n"/>
      <c r="F703" s="25" t="n"/>
      <c r="G703" s="28">
        <f>D703-B703</f>
        <v/>
      </c>
      <c r="H703" s="10">
        <f>(D703/B703)-1</f>
        <v/>
      </c>
      <c r="I703" s="7" t="n"/>
      <c r="J703" s="1" t="n">
        <v>42822</v>
      </c>
      <c r="K703" s="25" t="n">
        <v>2913.48</v>
      </c>
      <c r="L703" s="1" t="n">
        <v>43187</v>
      </c>
      <c r="M703" s="25" t="n">
        <v>2780.04</v>
      </c>
      <c r="N703" s="26">
        <f>M703-K703</f>
        <v/>
      </c>
      <c r="O703" s="7">
        <f>(M703/K703)-1</f>
        <v/>
      </c>
      <c r="P703" s="4" t="n"/>
    </row>
    <row hidden="1" r="704" s="64" spans="1:23">
      <c r="A704" s="1" t="n">
        <v>42581</v>
      </c>
      <c r="B704" s="25" t="n">
        <v>3081.75</v>
      </c>
      <c r="C704" s="1" t="n">
        <v>42946</v>
      </c>
      <c r="D704" s="25" t="n">
        <v>2995.23</v>
      </c>
      <c r="E704" s="25" t="n"/>
      <c r="F704" s="25" t="n"/>
      <c r="G704" s="28">
        <f>D704-B704</f>
        <v/>
      </c>
      <c r="H704" s="10">
        <f>(D704/B704)-1</f>
        <v/>
      </c>
      <c r="I704" s="7" t="n"/>
      <c r="J704" s="1" t="n">
        <v>42822</v>
      </c>
      <c r="K704" s="25" t="n">
        <v>2913.48</v>
      </c>
      <c r="L704" s="1" t="n">
        <v>43187</v>
      </c>
      <c r="M704" s="25" t="n">
        <v>2780.04</v>
      </c>
      <c r="N704" s="26">
        <f>M704-K704</f>
        <v/>
      </c>
      <c r="O704" s="7">
        <f>(M704/K704)-1</f>
        <v/>
      </c>
      <c r="P704" s="4" t="n"/>
    </row>
    <row hidden="1" r="705" s="64" spans="1:23">
      <c r="A705" s="1" t="n">
        <v>42582</v>
      </c>
      <c r="B705" s="25" t="n">
        <v>3081.75</v>
      </c>
      <c r="C705" s="1" t="n">
        <v>42947</v>
      </c>
      <c r="D705" s="25" t="n">
        <v>2995.23</v>
      </c>
      <c r="E705" s="25" t="n"/>
      <c r="F705" s="25" t="n"/>
      <c r="G705" s="28">
        <f>D705-B705</f>
        <v/>
      </c>
      <c r="H705" s="10">
        <f>(D705/B705)-1</f>
        <v/>
      </c>
      <c r="I705" s="7" t="n"/>
      <c r="J705" s="1" t="n">
        <v>42822</v>
      </c>
      <c r="K705" s="25" t="n">
        <v>2913.48</v>
      </c>
      <c r="L705" s="1" t="n">
        <v>43187</v>
      </c>
      <c r="M705" s="25" t="n">
        <v>2780.04</v>
      </c>
      <c r="N705" s="26">
        <f>M705-K705</f>
        <v/>
      </c>
      <c r="O705" s="7">
        <f>(M705/K705)-1</f>
        <v/>
      </c>
      <c r="P705" s="4" t="n"/>
    </row>
    <row hidden="1" r="706" s="64" spans="1:23">
      <c r="A706" s="1" t="n">
        <v>42583</v>
      </c>
      <c r="B706" s="25" t="n">
        <v>3081.75</v>
      </c>
      <c r="C706" s="1" t="n">
        <v>42948</v>
      </c>
      <c r="D706" s="25" t="n">
        <v>2997.59</v>
      </c>
      <c r="E706" s="25" t="n"/>
      <c r="F706" s="25" t="n"/>
      <c r="G706" s="28">
        <f>D706-B706</f>
        <v/>
      </c>
      <c r="H706" s="10">
        <f>(D706/B706)-1</f>
        <v/>
      </c>
      <c r="I706" s="7" t="n"/>
      <c r="J706" s="1" t="n">
        <v>42822</v>
      </c>
      <c r="K706" s="25" t="n">
        <v>2913.48</v>
      </c>
      <c r="L706" s="1" t="n">
        <v>43187</v>
      </c>
      <c r="M706" s="25" t="n">
        <v>2780.04</v>
      </c>
      <c r="N706" s="26">
        <f>M706-K706</f>
        <v/>
      </c>
      <c r="O706" s="7">
        <f>(M706/K706)-1</f>
        <v/>
      </c>
      <c r="P706" s="4" t="n"/>
    </row>
    <row hidden="1" r="707" s="64" spans="1:23">
      <c r="A707" s="1" t="n">
        <v>42584</v>
      </c>
      <c r="B707" s="25" t="n">
        <v>3090.28</v>
      </c>
      <c r="C707" s="1" t="n">
        <v>42949</v>
      </c>
      <c r="D707" s="25" t="n">
        <v>2973.03</v>
      </c>
      <c r="E707" s="25" t="n"/>
      <c r="F707" s="25" t="n"/>
      <c r="G707" s="28">
        <f>D707-B707</f>
        <v/>
      </c>
      <c r="H707" s="10">
        <f>(D707/B707)-1</f>
        <v/>
      </c>
      <c r="I707" s="7" t="n"/>
      <c r="J707" s="1" t="n">
        <v>42822</v>
      </c>
      <c r="K707" s="25" t="n">
        <v>2913.48</v>
      </c>
      <c r="L707" s="1" t="n">
        <v>43187</v>
      </c>
      <c r="M707" s="25" t="n">
        <v>2780.04</v>
      </c>
      <c r="N707" s="26">
        <f>M707-K707</f>
        <v/>
      </c>
      <c r="O707" s="7">
        <f>(M707/K707)-1</f>
        <v/>
      </c>
      <c r="P707" s="4" t="n"/>
    </row>
    <row hidden="1" r="708" s="64" spans="1:23">
      <c r="A708" s="1" t="n">
        <v>42585</v>
      </c>
      <c r="B708" s="25" t="n">
        <v>3084.41</v>
      </c>
      <c r="C708" s="1" t="n">
        <v>42950</v>
      </c>
      <c r="D708" s="25" t="n">
        <v>2964.66</v>
      </c>
      <c r="E708" s="25" t="n"/>
      <c r="F708" s="25" t="n"/>
      <c r="G708" s="28">
        <f>D708-B708</f>
        <v/>
      </c>
      <c r="H708" s="10">
        <f>(D708/B708)-1</f>
        <v/>
      </c>
      <c r="I708" s="7" t="n"/>
      <c r="J708" s="1" t="n">
        <v>42822</v>
      </c>
      <c r="K708" s="25" t="n">
        <v>2913.48</v>
      </c>
      <c r="L708" s="1" t="n">
        <v>43187</v>
      </c>
      <c r="M708" s="25" t="n">
        <v>2780.04</v>
      </c>
      <c r="N708" s="26">
        <f>M708-K708</f>
        <v/>
      </c>
      <c r="O708" s="7">
        <f>(M708/K708)-1</f>
        <v/>
      </c>
      <c r="P708" s="4" t="n"/>
    </row>
    <row hidden="1" r="709" s="64" spans="1:23">
      <c r="A709" s="1" t="n">
        <v>42586</v>
      </c>
      <c r="B709" s="25" t="n">
        <v>3110.43</v>
      </c>
      <c r="C709" s="1" t="n">
        <v>42951</v>
      </c>
      <c r="D709" s="25" t="n">
        <v>2954.54</v>
      </c>
      <c r="E709" s="25" t="n"/>
      <c r="F709" s="25" t="n"/>
      <c r="G709" s="28">
        <f>D709-B709</f>
        <v/>
      </c>
      <c r="H709" s="10">
        <f>(D709/B709)-1</f>
        <v/>
      </c>
      <c r="I709" s="7" t="n"/>
      <c r="J709" s="1" t="n">
        <v>42822</v>
      </c>
      <c r="K709" s="25" t="n">
        <v>2913.48</v>
      </c>
      <c r="L709" s="1" t="n">
        <v>43187</v>
      </c>
      <c r="M709" s="25" t="n">
        <v>2780.04</v>
      </c>
      <c r="N709" s="26">
        <f>M709-K709</f>
        <v/>
      </c>
      <c r="O709" s="7">
        <f>(M709/K709)-1</f>
        <v/>
      </c>
      <c r="P709" s="4" t="n"/>
    </row>
    <row hidden="1" r="710" s="64" spans="1:23">
      <c r="A710" s="1" t="n">
        <v>42587</v>
      </c>
      <c r="B710" s="25" t="n">
        <v>3079.83</v>
      </c>
      <c r="C710" s="1" t="n">
        <v>42952</v>
      </c>
      <c r="D710" s="25" t="n">
        <v>2974.39</v>
      </c>
      <c r="E710" s="25" t="n"/>
      <c r="F710" s="25" t="n"/>
      <c r="G710" s="28">
        <f>D710-B710</f>
        <v/>
      </c>
      <c r="H710" s="10">
        <f>(D710/B710)-1</f>
        <v/>
      </c>
      <c r="I710" s="7" t="n"/>
      <c r="J710" s="1" t="n">
        <v>42822</v>
      </c>
      <c r="K710" s="25" t="n">
        <v>2913.48</v>
      </c>
      <c r="L710" s="1" t="n">
        <v>43187</v>
      </c>
      <c r="M710" s="25" t="n">
        <v>2780.04</v>
      </c>
      <c r="N710" s="26">
        <f>M710-K710</f>
        <v/>
      </c>
      <c r="O710" s="7">
        <f>(M710/K710)-1</f>
        <v/>
      </c>
      <c r="P710" s="4" t="n"/>
    </row>
    <row hidden="1" r="711" s="64" spans="1:23">
      <c r="A711" s="1" t="n">
        <v>42588</v>
      </c>
      <c r="B711" s="25" t="n">
        <v>3052.8</v>
      </c>
      <c r="C711" s="1" t="n">
        <v>42953</v>
      </c>
      <c r="D711" s="25" t="n">
        <v>2974.39</v>
      </c>
      <c r="E711" s="25" t="n"/>
      <c r="F711" s="25" t="n"/>
      <c r="G711" s="28">
        <f>D711-B711</f>
        <v/>
      </c>
      <c r="H711" s="10">
        <f>(D711/B711)-1</f>
        <v/>
      </c>
      <c r="I711" s="7" t="n"/>
      <c r="J711" s="1" t="n">
        <v>42822</v>
      </c>
      <c r="K711" s="25" t="n">
        <v>2913.48</v>
      </c>
      <c r="L711" s="1" t="n">
        <v>43187</v>
      </c>
      <c r="M711" s="25" t="n">
        <v>2780.04</v>
      </c>
      <c r="N711" s="26">
        <f>M711-K711</f>
        <v/>
      </c>
      <c r="O711" s="7">
        <f>(M711/K711)-1</f>
        <v/>
      </c>
      <c r="P711" s="4" t="n"/>
    </row>
    <row hidden="1" r="712" s="64" spans="1:23">
      <c r="A712" s="1" t="n">
        <v>42589</v>
      </c>
      <c r="B712" s="25" t="n">
        <v>3052.8</v>
      </c>
      <c r="C712" s="1" t="n">
        <v>42954</v>
      </c>
      <c r="D712" s="25" t="n">
        <v>2974.39</v>
      </c>
      <c r="E712" s="25" t="n"/>
      <c r="F712" s="25" t="n"/>
      <c r="G712" s="28">
        <f>D712-B712</f>
        <v/>
      </c>
      <c r="H712" s="10">
        <f>(D712/B712)-1</f>
        <v/>
      </c>
      <c r="I712" s="7" t="n"/>
      <c r="J712" s="1" t="n">
        <v>42822</v>
      </c>
      <c r="K712" s="25" t="n">
        <v>2913.48</v>
      </c>
      <c r="L712" s="1" t="n">
        <v>43187</v>
      </c>
      <c r="M712" s="25" t="n">
        <v>2780.04</v>
      </c>
      <c r="N712" s="26">
        <f>M712-K712</f>
        <v/>
      </c>
      <c r="O712" s="7">
        <f>(M712/K712)-1</f>
        <v/>
      </c>
      <c r="P712" s="4" t="n"/>
    </row>
    <row hidden="1" r="713" s="64" spans="1:23">
      <c r="A713" s="1" t="n">
        <v>42590</v>
      </c>
      <c r="B713" s="25" t="n">
        <v>3052.8</v>
      </c>
      <c r="C713" s="1" t="n">
        <v>42955</v>
      </c>
      <c r="D713" s="25" t="n">
        <v>2974.39</v>
      </c>
      <c r="E713" s="25" t="n"/>
      <c r="F713" s="25" t="n"/>
      <c r="G713" s="28">
        <f>D713-B713</f>
        <v/>
      </c>
      <c r="H713" s="10">
        <f>(D713/B713)-1</f>
        <v/>
      </c>
      <c r="I713" s="7" t="n"/>
      <c r="J713" s="1" t="n">
        <v>42822</v>
      </c>
      <c r="K713" s="25" t="n">
        <v>2913.48</v>
      </c>
      <c r="L713" s="1" t="n">
        <v>43187</v>
      </c>
      <c r="M713" s="25" t="n">
        <v>2780.04</v>
      </c>
      <c r="N713" s="26">
        <f>M713-K713</f>
        <v/>
      </c>
      <c r="O713" s="7">
        <f>(M713/K713)-1</f>
        <v/>
      </c>
      <c r="P713" s="4" t="n"/>
    </row>
    <row hidden="1" r="714" s="64" spans="1:23">
      <c r="A714" s="1" t="n">
        <v>42591</v>
      </c>
      <c r="B714" s="25" t="n">
        <v>2992.5</v>
      </c>
      <c r="C714" s="1" t="n">
        <v>42956</v>
      </c>
      <c r="D714" s="25" t="n">
        <v>2994.62</v>
      </c>
      <c r="E714" s="25" t="n"/>
      <c r="F714" s="25" t="n"/>
      <c r="G714" s="28">
        <f>D714-B714</f>
        <v/>
      </c>
      <c r="H714" s="10">
        <f>(D714/B714)-1</f>
        <v/>
      </c>
      <c r="I714" s="7" t="n"/>
      <c r="J714" s="1" t="n">
        <v>42822</v>
      </c>
      <c r="K714" s="25" t="n">
        <v>2913.48</v>
      </c>
      <c r="L714" s="1" t="n">
        <v>43187</v>
      </c>
      <c r="M714" s="25" t="n">
        <v>2780.04</v>
      </c>
      <c r="N714" s="26">
        <f>M714-K714</f>
        <v/>
      </c>
      <c r="O714" s="7">
        <f>(M714/K714)-1</f>
        <v/>
      </c>
      <c r="P714" s="4" t="n"/>
    </row>
    <row hidden="1" r="715" s="64" spans="1:23">
      <c r="A715" s="1" t="n">
        <v>42592</v>
      </c>
      <c r="B715" s="25" t="n">
        <v>2974.31</v>
      </c>
      <c r="C715" s="1" t="n">
        <v>42957</v>
      </c>
      <c r="D715" s="25" t="n">
        <v>3011.14</v>
      </c>
      <c r="E715" s="25" t="n"/>
      <c r="F715" s="25" t="n"/>
      <c r="G715" s="28">
        <f>D715-B715</f>
        <v/>
      </c>
      <c r="H715" s="10">
        <f>(D715/B715)-1</f>
        <v/>
      </c>
      <c r="I715" s="7" t="n"/>
      <c r="J715" s="1" t="n">
        <v>42822</v>
      </c>
      <c r="K715" s="25" t="n">
        <v>2913.48</v>
      </c>
      <c r="L715" s="1" t="n">
        <v>43187</v>
      </c>
      <c r="M715" s="25" t="n">
        <v>2780.04</v>
      </c>
      <c r="N715" s="26">
        <f>M715-K715</f>
        <v/>
      </c>
      <c r="O715" s="7">
        <f>(M715/K715)-1</f>
        <v/>
      </c>
      <c r="P715" s="4" t="n"/>
    </row>
    <row hidden="1" r="716" s="64" spans="1:23">
      <c r="A716" s="1" t="n">
        <v>42593</v>
      </c>
      <c r="B716" s="25" t="n">
        <v>2954.9</v>
      </c>
      <c r="C716" s="1" t="n">
        <v>42958</v>
      </c>
      <c r="D716" s="25" t="n">
        <v>2994.85</v>
      </c>
      <c r="E716" s="25" t="n"/>
      <c r="F716" s="25" t="n"/>
      <c r="G716" s="28">
        <f>D716-B716</f>
        <v/>
      </c>
      <c r="H716" s="10">
        <f>(D716/B716)-1</f>
        <v/>
      </c>
      <c r="I716" s="7" t="n"/>
      <c r="J716" s="1" t="n">
        <v>42822</v>
      </c>
      <c r="K716" s="25" t="n">
        <v>2913.48</v>
      </c>
      <c r="L716" s="1" t="n">
        <v>43187</v>
      </c>
      <c r="M716" s="25" t="n">
        <v>2780.04</v>
      </c>
      <c r="N716" s="26">
        <f>M716-K716</f>
        <v/>
      </c>
      <c r="O716" s="7">
        <f>(M716/K716)-1</f>
        <v/>
      </c>
      <c r="P716" s="4" t="n"/>
    </row>
    <row hidden="1" r="717" s="64" spans="1:23">
      <c r="A717" s="1" t="n">
        <v>42594</v>
      </c>
      <c r="B717" s="25" t="n">
        <v>2911.26</v>
      </c>
      <c r="C717" s="1" t="n">
        <v>42959</v>
      </c>
      <c r="D717" s="25" t="n">
        <v>2984.99</v>
      </c>
      <c r="E717" s="25" t="n"/>
      <c r="F717" s="25" t="n"/>
      <c r="G717" s="28">
        <f>D717-B717</f>
        <v/>
      </c>
      <c r="H717" s="10">
        <f>(D717/B717)-1</f>
        <v/>
      </c>
      <c r="I717" s="7" t="n"/>
      <c r="J717" s="1" t="n">
        <v>42822</v>
      </c>
      <c r="K717" s="25" t="n">
        <v>2913.48</v>
      </c>
      <c r="L717" s="1" t="n">
        <v>43187</v>
      </c>
      <c r="M717" s="25" t="n">
        <v>2780.04</v>
      </c>
      <c r="N717" s="26">
        <f>M717-K717</f>
        <v/>
      </c>
      <c r="O717" s="7">
        <f>(M717/K717)-1</f>
        <v/>
      </c>
      <c r="P717" s="4" t="n"/>
    </row>
    <row hidden="1" r="718" s="64" spans="1:23">
      <c r="A718" s="1" t="n">
        <v>42595</v>
      </c>
      <c r="B718" s="25" t="n">
        <v>2908.67</v>
      </c>
      <c r="C718" s="1" t="n">
        <v>42960</v>
      </c>
      <c r="D718" s="25" t="n">
        <v>2984.99</v>
      </c>
      <c r="E718" s="25" t="n"/>
      <c r="F718" s="25" t="n"/>
      <c r="G718" s="28">
        <f>D718-B718</f>
        <v/>
      </c>
      <c r="H718" s="10">
        <f>(D718/B718)-1</f>
        <v/>
      </c>
      <c r="I718" s="7" t="n"/>
      <c r="J718" s="1" t="n">
        <v>42822</v>
      </c>
      <c r="K718" s="25" t="n">
        <v>2913.48</v>
      </c>
      <c r="L718" s="1" t="n">
        <v>43187</v>
      </c>
      <c r="M718" s="25" t="n">
        <v>2780.04</v>
      </c>
      <c r="N718" s="26">
        <f>M718-K718</f>
        <v/>
      </c>
      <c r="O718" s="7">
        <f>(M718/K718)-1</f>
        <v/>
      </c>
      <c r="P718" s="4" t="n"/>
    </row>
    <row hidden="1" r="719" s="64" spans="1:23">
      <c r="A719" s="1" t="n">
        <v>42596</v>
      </c>
      <c r="B719" s="25" t="n">
        <v>2908.67</v>
      </c>
      <c r="C719" s="1" t="n">
        <v>42961</v>
      </c>
      <c r="D719" s="25" t="n">
        <v>2984.99</v>
      </c>
      <c r="E719" s="25" t="n"/>
      <c r="F719" s="25" t="n"/>
      <c r="G719" s="28">
        <f>D719-B719</f>
        <v/>
      </c>
      <c r="H719" s="10">
        <f>(D719/B719)-1</f>
        <v/>
      </c>
      <c r="I719" s="7" t="n"/>
      <c r="J719" s="1" t="n">
        <v>42822</v>
      </c>
      <c r="K719" s="25" t="n">
        <v>2913.48</v>
      </c>
      <c r="L719" s="1" t="n">
        <v>43187</v>
      </c>
      <c r="M719" s="25" t="n">
        <v>2780.04</v>
      </c>
      <c r="N719" s="26">
        <f>M719-K719</f>
        <v/>
      </c>
      <c r="O719" s="7">
        <f>(M719/K719)-1</f>
        <v/>
      </c>
      <c r="P719" s="4" t="n"/>
    </row>
    <row hidden="1" r="720" s="64" spans="1:23">
      <c r="A720" s="1" t="n">
        <v>42597</v>
      </c>
      <c r="B720" s="25" t="n">
        <v>2908.67</v>
      </c>
      <c r="C720" s="1" t="n">
        <v>42962</v>
      </c>
      <c r="D720" s="25" t="n">
        <v>2966.54</v>
      </c>
      <c r="E720" s="25" t="n"/>
      <c r="F720" s="25" t="n"/>
      <c r="G720" s="28">
        <f>D720-B720</f>
        <v/>
      </c>
      <c r="H720" s="10">
        <f>(D720/B720)-1</f>
        <v/>
      </c>
      <c r="I720" s="7" t="n"/>
      <c r="J720" s="1" t="n">
        <v>42822</v>
      </c>
      <c r="K720" s="25" t="n">
        <v>2913.48</v>
      </c>
      <c r="L720" s="1" t="n">
        <v>43187</v>
      </c>
      <c r="M720" s="25" t="n">
        <v>2780.04</v>
      </c>
      <c r="N720" s="26">
        <f>M720-K720</f>
        <v/>
      </c>
      <c r="O720" s="7">
        <f>(M720/K720)-1</f>
        <v/>
      </c>
      <c r="P720" s="4" t="n"/>
    </row>
    <row hidden="1" r="721" s="64" spans="1:23">
      <c r="A721" s="1" t="n">
        <v>42598</v>
      </c>
      <c r="B721" s="25" t="n">
        <v>2908.67</v>
      </c>
      <c r="C721" s="1" t="n">
        <v>42963</v>
      </c>
      <c r="D721" s="25" t="n">
        <v>2974.7</v>
      </c>
      <c r="E721" s="25" t="n"/>
      <c r="F721" s="25" t="n"/>
      <c r="G721" s="28">
        <f>D721-B721</f>
        <v/>
      </c>
      <c r="H721" s="10">
        <f>(D721/B721)-1</f>
        <v/>
      </c>
      <c r="I721" s="7" t="n"/>
      <c r="J721" s="1" t="n">
        <v>42822</v>
      </c>
      <c r="K721" s="25" t="n">
        <v>2913.48</v>
      </c>
      <c r="L721" s="1" t="n">
        <v>43187</v>
      </c>
      <c r="M721" s="25" t="n">
        <v>2780.04</v>
      </c>
      <c r="N721" s="26">
        <f>M721-K721</f>
        <v/>
      </c>
      <c r="O721" s="7">
        <f>(M721/K721)-1</f>
        <v/>
      </c>
      <c r="P721" s="4" t="n"/>
    </row>
    <row hidden="1" r="722" s="64" spans="1:23">
      <c r="A722" s="1" t="n">
        <v>42599</v>
      </c>
      <c r="B722" s="25" t="n">
        <v>2905.3</v>
      </c>
      <c r="C722" s="1" t="n">
        <v>42964</v>
      </c>
      <c r="D722" s="25" t="n">
        <v>2967.32</v>
      </c>
      <c r="E722" s="25" t="n"/>
      <c r="F722" s="25" t="n"/>
      <c r="G722" s="28">
        <f>D722-B722</f>
        <v/>
      </c>
      <c r="H722" s="10">
        <f>(D722/B722)-1</f>
        <v/>
      </c>
      <c r="I722" s="7" t="n"/>
      <c r="J722" s="1" t="n">
        <v>42822</v>
      </c>
      <c r="K722" s="25" t="n">
        <v>2913.48</v>
      </c>
      <c r="L722" s="1" t="n">
        <v>43187</v>
      </c>
      <c r="M722" s="25" t="n">
        <v>2780.04</v>
      </c>
      <c r="N722" s="26">
        <f>M722-K722</f>
        <v/>
      </c>
      <c r="O722" s="7">
        <f>(M722/K722)-1</f>
        <v/>
      </c>
      <c r="P722" s="4" t="n"/>
    </row>
    <row hidden="1" r="723" s="64" spans="1:23">
      <c r="A723" s="1" t="n">
        <v>42600</v>
      </c>
      <c r="B723" s="25" t="n">
        <v>2918.07</v>
      </c>
      <c r="C723" s="1" t="n">
        <v>42965</v>
      </c>
      <c r="D723" s="25" t="n">
        <v>2980.03</v>
      </c>
      <c r="E723" s="25" t="n"/>
      <c r="F723" s="25" t="n"/>
      <c r="G723" s="28">
        <f>D723-B723</f>
        <v/>
      </c>
      <c r="H723" s="10">
        <f>(D723/B723)-1</f>
        <v/>
      </c>
      <c r="I723" s="7" t="n"/>
      <c r="J723" s="1" t="n">
        <v>42822</v>
      </c>
      <c r="K723" s="25" t="n">
        <v>2913.48</v>
      </c>
      <c r="L723" s="1" t="n">
        <v>43187</v>
      </c>
      <c r="M723" s="25" t="n">
        <v>2780.04</v>
      </c>
      <c r="N723" s="26">
        <f>M723-K723</f>
        <v/>
      </c>
      <c r="O723" s="7">
        <f>(M723/K723)-1</f>
        <v/>
      </c>
      <c r="P723" s="4" t="n"/>
    </row>
    <row hidden="1" r="724" s="64" spans="1:23">
      <c r="A724" s="1" t="n">
        <v>42601</v>
      </c>
      <c r="B724" s="25" t="n">
        <v>2884.02</v>
      </c>
      <c r="C724" s="1" t="n">
        <v>42966</v>
      </c>
      <c r="D724" s="25" t="n">
        <v>2994.39</v>
      </c>
      <c r="E724" s="25" t="n"/>
      <c r="F724" s="25" t="n"/>
      <c r="G724" s="28">
        <f>D724-B724</f>
        <v/>
      </c>
      <c r="H724" s="10">
        <f>(D724/B724)-1</f>
        <v/>
      </c>
      <c r="I724" s="7" t="n"/>
      <c r="J724" s="1" t="n">
        <v>42822</v>
      </c>
      <c r="K724" s="25" t="n">
        <v>2913.48</v>
      </c>
      <c r="L724" s="1" t="n">
        <v>43187</v>
      </c>
      <c r="M724" s="25" t="n">
        <v>2780.04</v>
      </c>
      <c r="N724" s="26">
        <f>M724-K724</f>
        <v/>
      </c>
      <c r="O724" s="7">
        <f>(M724/K724)-1</f>
        <v/>
      </c>
      <c r="P724" s="4" t="n"/>
    </row>
    <row hidden="1" r="725" s="64" spans="1:23">
      <c r="A725" s="1" t="n">
        <v>42602</v>
      </c>
      <c r="B725" s="25" t="n">
        <v>2867.37</v>
      </c>
      <c r="C725" s="1" t="n">
        <v>42967</v>
      </c>
      <c r="D725" s="25" t="n">
        <v>2994.39</v>
      </c>
      <c r="E725" s="25" t="n"/>
      <c r="F725" s="25" t="n"/>
      <c r="G725" s="28">
        <f>D725-B725</f>
        <v/>
      </c>
      <c r="H725" s="10">
        <f>(D725/B725)-1</f>
        <v/>
      </c>
      <c r="I725" s="7" t="n"/>
      <c r="J725" s="1" t="n">
        <v>42822</v>
      </c>
      <c r="K725" s="25" t="n">
        <v>2913.48</v>
      </c>
      <c r="L725" s="1" t="n">
        <v>43187</v>
      </c>
      <c r="M725" s="25" t="n">
        <v>2780.04</v>
      </c>
      <c r="N725" s="26">
        <f>M725-K725</f>
        <v/>
      </c>
      <c r="O725" s="7">
        <f>(M725/K725)-1</f>
        <v/>
      </c>
      <c r="P725" s="4" t="n"/>
    </row>
    <row hidden="1" r="726" s="64" spans="1:23">
      <c r="A726" s="1" t="n">
        <v>42603</v>
      </c>
      <c r="B726" s="25" t="n">
        <v>2867.37</v>
      </c>
      <c r="C726" s="1" t="n">
        <v>42968</v>
      </c>
      <c r="D726" s="25" t="n">
        <v>2994.39</v>
      </c>
      <c r="E726" s="25" t="n"/>
      <c r="F726" s="25" t="n"/>
      <c r="G726" s="28">
        <f>D726-B726</f>
        <v/>
      </c>
      <c r="H726" s="10">
        <f>(D726/B726)-1</f>
        <v/>
      </c>
      <c r="I726" s="7" t="n"/>
      <c r="J726" s="1" t="n">
        <v>42822</v>
      </c>
      <c r="K726" s="25" t="n">
        <v>2913.48</v>
      </c>
      <c r="L726" s="1" t="n">
        <v>43187</v>
      </c>
      <c r="M726" s="25" t="n">
        <v>2780.04</v>
      </c>
      <c r="N726" s="26">
        <f>M726-K726</f>
        <v/>
      </c>
      <c r="O726" s="7">
        <f>(M726/K726)-1</f>
        <v/>
      </c>
      <c r="P726" s="4" t="n"/>
    </row>
    <row hidden="1" r="727" s="64" spans="1:23">
      <c r="A727" s="1" t="n">
        <v>42604</v>
      </c>
      <c r="B727" s="25" t="n">
        <v>2867.37</v>
      </c>
      <c r="C727" s="1" t="n">
        <v>42969</v>
      </c>
      <c r="D727" s="25" t="n">
        <v>2994.39</v>
      </c>
      <c r="E727" s="25" t="n"/>
      <c r="F727" s="25" t="n"/>
      <c r="G727" s="28">
        <f>D727-B727</f>
        <v/>
      </c>
      <c r="H727" s="10">
        <f>(D727/B727)-1</f>
        <v/>
      </c>
      <c r="I727" s="7" t="n"/>
      <c r="J727" s="1" t="n">
        <v>42822</v>
      </c>
      <c r="K727" s="25" t="n">
        <v>2913.48</v>
      </c>
      <c r="L727" s="1" t="n">
        <v>43187</v>
      </c>
      <c r="M727" s="25" t="n">
        <v>2780.04</v>
      </c>
      <c r="N727" s="26">
        <f>M727-K727</f>
        <v/>
      </c>
      <c r="O727" s="7">
        <f>(M727/K727)-1</f>
        <v/>
      </c>
      <c r="P727" s="4" t="n"/>
    </row>
    <row hidden="1" r="728" s="64" spans="1:23">
      <c r="A728" s="1" t="n">
        <v>42605</v>
      </c>
      <c r="B728" s="25" t="n">
        <v>2883.89</v>
      </c>
      <c r="C728" s="1" t="n">
        <v>42970</v>
      </c>
      <c r="D728" s="25" t="n">
        <v>2986.83</v>
      </c>
      <c r="E728" s="25" t="n"/>
      <c r="F728" s="25" t="n"/>
      <c r="G728" s="28">
        <f>D728-B728</f>
        <v/>
      </c>
      <c r="H728" s="10">
        <f>(D728/B728)-1</f>
        <v/>
      </c>
      <c r="I728" s="7" t="n"/>
      <c r="J728" s="1" t="n">
        <v>42822</v>
      </c>
      <c r="K728" s="25" t="n">
        <v>2913.48</v>
      </c>
      <c r="L728" s="1" t="n">
        <v>43187</v>
      </c>
      <c r="M728" s="25" t="n">
        <v>2780.04</v>
      </c>
      <c r="N728" s="26">
        <f>M728-K728</f>
        <v/>
      </c>
      <c r="O728" s="7">
        <f>(M728/K728)-1</f>
        <v/>
      </c>
      <c r="P728" s="4" t="n"/>
    </row>
    <row hidden="1" r="729" s="64" spans="1:23">
      <c r="A729" s="1" t="n">
        <v>42606</v>
      </c>
      <c r="B729" s="25" t="n">
        <v>2909.1</v>
      </c>
      <c r="C729" s="1" t="n">
        <v>42971</v>
      </c>
      <c r="D729" s="25" t="n">
        <v>2986.88</v>
      </c>
      <c r="E729" s="25" t="n"/>
      <c r="F729" s="25" t="n"/>
      <c r="G729" s="28">
        <f>D729-B729</f>
        <v/>
      </c>
      <c r="H729" s="10">
        <f>(D729/B729)-1</f>
        <v/>
      </c>
      <c r="I729" s="7" t="n"/>
      <c r="J729" s="1" t="n">
        <v>42822</v>
      </c>
      <c r="K729" s="25" t="n">
        <v>2913.48</v>
      </c>
      <c r="L729" s="1" t="n">
        <v>43187</v>
      </c>
      <c r="M729" s="25" t="n">
        <v>2780.04</v>
      </c>
      <c r="N729" s="26">
        <f>M729-K729</f>
        <v/>
      </c>
      <c r="O729" s="7">
        <f>(M729/K729)-1</f>
        <v/>
      </c>
      <c r="P729" s="4" t="n"/>
    </row>
    <row hidden="1" r="730" s="64" spans="1:23">
      <c r="A730" s="1" t="n">
        <v>42607</v>
      </c>
      <c r="B730" s="25" t="n">
        <v>2938.28</v>
      </c>
      <c r="C730" s="1" t="n">
        <v>42972</v>
      </c>
      <c r="D730" s="25" t="n">
        <v>2972.98</v>
      </c>
      <c r="E730" s="25" t="n"/>
      <c r="F730" s="25" t="n"/>
      <c r="G730" s="28">
        <f>D730-B730</f>
        <v/>
      </c>
      <c r="H730" s="10">
        <f>(D730/B730)-1</f>
        <v/>
      </c>
      <c r="I730" s="7" t="n"/>
      <c r="J730" s="1" t="n">
        <v>42822</v>
      </c>
      <c r="K730" s="25" t="n">
        <v>2913.48</v>
      </c>
      <c r="L730" s="1" t="n">
        <v>43187</v>
      </c>
      <c r="M730" s="25" t="n">
        <v>2780.04</v>
      </c>
      <c r="N730" s="26">
        <f>M730-K730</f>
        <v/>
      </c>
      <c r="O730" s="7">
        <f>(M730/K730)-1</f>
        <v/>
      </c>
      <c r="P730" s="4" t="n"/>
    </row>
    <row hidden="1" r="731" s="64" spans="1:23">
      <c r="A731" s="1" t="n">
        <v>42608</v>
      </c>
      <c r="B731" s="25" t="n">
        <v>2915.67</v>
      </c>
      <c r="C731" s="1" t="n">
        <v>42973</v>
      </c>
      <c r="D731" s="25" t="n">
        <v>2933.96</v>
      </c>
      <c r="E731" s="25" t="n"/>
      <c r="F731" s="25" t="n"/>
      <c r="G731" s="28">
        <f>D731-B731</f>
        <v/>
      </c>
      <c r="H731" s="10">
        <f>(D731/B731)-1</f>
        <v/>
      </c>
      <c r="I731" s="7" t="n"/>
      <c r="J731" s="1" t="n">
        <v>42822</v>
      </c>
      <c r="K731" s="25" t="n">
        <v>2913.48</v>
      </c>
      <c r="L731" s="1" t="n">
        <v>43187</v>
      </c>
      <c r="M731" s="25" t="n">
        <v>2780.04</v>
      </c>
      <c r="N731" s="26">
        <f>M731-K731</f>
        <v/>
      </c>
      <c r="O731" s="7">
        <f>(M731/K731)-1</f>
        <v/>
      </c>
      <c r="P731" s="4" t="n"/>
    </row>
    <row hidden="1" r="732" s="64" spans="1:23">
      <c r="A732" s="1" t="n">
        <v>42609</v>
      </c>
      <c r="B732" s="25" t="n">
        <v>2882.69</v>
      </c>
      <c r="C732" s="1" t="n">
        <v>42974</v>
      </c>
      <c r="D732" s="25" t="n">
        <v>2933.96</v>
      </c>
      <c r="E732" s="25" t="n"/>
      <c r="F732" s="25" t="n"/>
      <c r="G732" s="28">
        <f>D732-B732</f>
        <v/>
      </c>
      <c r="H732" s="10">
        <f>(D732/B732)-1</f>
        <v/>
      </c>
      <c r="I732" s="7" t="n"/>
      <c r="J732" s="1" t="n">
        <v>42822</v>
      </c>
      <c r="K732" s="25" t="n">
        <v>2913.48</v>
      </c>
      <c r="L732" s="1" t="n">
        <v>43187</v>
      </c>
      <c r="M732" s="25" t="n">
        <v>2780.04</v>
      </c>
      <c r="N732" s="26">
        <f>M732-K732</f>
        <v/>
      </c>
      <c r="O732" s="7">
        <f>(M732/K732)-1</f>
        <v/>
      </c>
      <c r="P732" s="4" t="n"/>
    </row>
    <row hidden="1" r="733" s="64" spans="1:23">
      <c r="A733" s="1" t="n">
        <v>42610</v>
      </c>
      <c r="B733" s="25" t="n">
        <v>2882.69</v>
      </c>
      <c r="C733" s="1" t="n">
        <v>42975</v>
      </c>
      <c r="D733" s="25" t="n">
        <v>2933.96</v>
      </c>
      <c r="E733" s="25" t="n"/>
      <c r="F733" s="25" t="n"/>
      <c r="G733" s="28">
        <f>D733-B733</f>
        <v/>
      </c>
      <c r="H733" s="10">
        <f>(D733/B733)-1</f>
        <v/>
      </c>
      <c r="I733" s="7" t="n"/>
      <c r="J733" s="1" t="n">
        <v>42822</v>
      </c>
      <c r="K733" s="25" t="n">
        <v>2913.48</v>
      </c>
      <c r="L733" s="1" t="n">
        <v>43187</v>
      </c>
      <c r="M733" s="25" t="n">
        <v>2780.04</v>
      </c>
      <c r="N733" s="26">
        <f>M733-K733</f>
        <v/>
      </c>
      <c r="O733" s="7">
        <f>(M733/K733)-1</f>
        <v/>
      </c>
      <c r="P733" s="4" t="n"/>
    </row>
    <row hidden="1" r="734" s="64" spans="1:23">
      <c r="A734" s="1" t="n">
        <v>42611</v>
      </c>
      <c r="B734" s="25" t="n">
        <v>2882.69</v>
      </c>
      <c r="C734" s="1" t="n">
        <v>42976</v>
      </c>
      <c r="D734" s="25" t="n">
        <v>2934.23</v>
      </c>
      <c r="E734" s="25" t="n"/>
      <c r="F734" s="25" t="n"/>
      <c r="G734" s="28">
        <f>D734-B734</f>
        <v/>
      </c>
      <c r="H734" s="10">
        <f>(D734/B734)-1</f>
        <v/>
      </c>
      <c r="I734" s="7" t="n"/>
      <c r="J734" s="1" t="n">
        <v>42822</v>
      </c>
      <c r="K734" s="25" t="n">
        <v>2913.48</v>
      </c>
      <c r="L734" s="1" t="n">
        <v>43187</v>
      </c>
      <c r="M734" s="25" t="n">
        <v>2780.04</v>
      </c>
      <c r="N734" s="26">
        <f>M734-K734</f>
        <v/>
      </c>
      <c r="O734" s="7">
        <f>(M734/K734)-1</f>
        <v/>
      </c>
      <c r="P734" s="4" t="n"/>
    </row>
    <row hidden="1" r="735" s="64" spans="1:23">
      <c r="A735" s="1" t="n">
        <v>42612</v>
      </c>
      <c r="B735" s="25" t="n">
        <v>2924.29</v>
      </c>
      <c r="C735" s="1" t="n">
        <v>42977</v>
      </c>
      <c r="D735" s="25" t="n">
        <v>2940.35</v>
      </c>
      <c r="E735" s="25" t="n"/>
      <c r="F735" s="25" t="n"/>
      <c r="G735" s="28">
        <f>D735-B735</f>
        <v/>
      </c>
      <c r="H735" s="10">
        <f>(D735/B735)-1</f>
        <v/>
      </c>
      <c r="I735" s="7" t="n"/>
      <c r="J735" s="1" t="n">
        <v>42822</v>
      </c>
      <c r="K735" s="25" t="n">
        <v>2913.48</v>
      </c>
      <c r="L735" s="1" t="n">
        <v>43187</v>
      </c>
      <c r="M735" s="25" t="n">
        <v>2780.04</v>
      </c>
      <c r="N735" s="26">
        <f>M735-K735</f>
        <v/>
      </c>
      <c r="O735" s="7">
        <f>(M735/K735)-1</f>
        <v/>
      </c>
      <c r="P735" s="4" t="n"/>
    </row>
    <row hidden="1" r="736" s="64" spans="1:23">
      <c r="A736" s="1" t="n">
        <v>42613</v>
      </c>
      <c r="B736" s="25" t="n">
        <v>2933.82</v>
      </c>
      <c r="C736" s="1" t="n">
        <v>42978</v>
      </c>
      <c r="D736" s="25" t="n">
        <v>2937.09</v>
      </c>
      <c r="E736" s="25" t="n"/>
      <c r="F736" s="25" t="n"/>
      <c r="G736" s="28">
        <f>D736-B736</f>
        <v/>
      </c>
      <c r="H736" s="10">
        <f>(D736/B736)-1</f>
        <v/>
      </c>
      <c r="I736" s="7" t="n"/>
      <c r="J736" s="1" t="n">
        <v>42822</v>
      </c>
      <c r="K736" s="25" t="n">
        <v>2913.48</v>
      </c>
      <c r="L736" s="1" t="n">
        <v>43187</v>
      </c>
      <c r="M736" s="25" t="n">
        <v>2780.04</v>
      </c>
      <c r="N736" s="26">
        <f>M736-K736</f>
        <v/>
      </c>
      <c r="O736" s="7">
        <f>(M736/K736)-1</f>
        <v/>
      </c>
      <c r="P736" s="4" t="n"/>
    </row>
    <row r="737" spans="1:23">
      <c r="A737" s="1" t="n">
        <v>42614</v>
      </c>
      <c r="B737" s="25" t="n">
        <v>2956.53</v>
      </c>
      <c r="C737" s="1" t="n">
        <v>42979</v>
      </c>
      <c r="D737" s="25" t="n">
        <v>2948.09</v>
      </c>
      <c r="E737" s="1" t="n">
        <v>43344</v>
      </c>
      <c r="F737" s="25" t="n">
        <v>3053.14</v>
      </c>
      <c r="G737" s="28" t="n">
        <v>105.0499999999997</v>
      </c>
      <c r="H737" s="10" t="n">
        <v>0.03563324050486916</v>
      </c>
      <c r="I737" s="75" t="n">
        <v>2850</v>
      </c>
    </row>
    <row r="738" spans="1:23">
      <c r="A738" s="1" t="n">
        <v>42615</v>
      </c>
      <c r="B738" s="25" t="n">
        <v>2986.36</v>
      </c>
      <c r="C738" s="1" t="n">
        <v>42980</v>
      </c>
      <c r="D738" s="25" t="n">
        <v>2936.07</v>
      </c>
      <c r="E738" s="1" t="n">
        <v>43345</v>
      </c>
      <c r="F738" s="25" t="n">
        <v>3053.14</v>
      </c>
      <c r="G738" s="28" t="n">
        <v>117.0699999999997</v>
      </c>
      <c r="H738" s="10" t="n">
        <v>0.03987302755043287</v>
      </c>
      <c r="I738" s="75" t="n">
        <v>2850</v>
      </c>
    </row>
    <row r="739" spans="1:23">
      <c r="A739" s="1" t="n">
        <v>42616</v>
      </c>
      <c r="B739" s="25" t="n">
        <v>2957.56</v>
      </c>
      <c r="C739" s="1" t="n">
        <v>42981</v>
      </c>
      <c r="D739" s="25" t="n">
        <v>2936.07</v>
      </c>
      <c r="E739" s="1" t="n">
        <v>43346</v>
      </c>
      <c r="F739" s="25" t="n">
        <v>3053.14</v>
      </c>
      <c r="G739" s="28" t="n">
        <v>117.0699999999997</v>
      </c>
      <c r="H739" s="10" t="n">
        <v>0.03987302755043287</v>
      </c>
      <c r="I739" s="75" t="n">
        <v>2850</v>
      </c>
    </row>
    <row r="740" spans="1:23">
      <c r="A740" s="1" t="n">
        <v>42617</v>
      </c>
      <c r="B740" s="25" t="n">
        <v>2957.56</v>
      </c>
      <c r="C740" s="1" t="n">
        <v>42982</v>
      </c>
      <c r="D740" s="25" t="n">
        <v>2936.07</v>
      </c>
      <c r="E740" s="1" t="n">
        <v>43347</v>
      </c>
      <c r="F740" s="25" t="n">
        <v>3053.14</v>
      </c>
      <c r="G740" s="28" t="n">
        <v>117.0699999999997</v>
      </c>
      <c r="H740" s="10" t="n">
        <v>0.03987302755043287</v>
      </c>
      <c r="I740" s="75" t="n">
        <v>2850</v>
      </c>
    </row>
    <row r="741" spans="1:23">
      <c r="A741" s="1" t="n">
        <v>42618</v>
      </c>
      <c r="B741" s="25" t="n">
        <v>2957.56</v>
      </c>
      <c r="C741" s="1" t="n">
        <v>42983</v>
      </c>
      <c r="D741" s="25" t="n">
        <v>2936.07</v>
      </c>
      <c r="E741" s="1" t="n">
        <v>43348</v>
      </c>
      <c r="F741" s="25" t="n">
        <v>3088.47</v>
      </c>
      <c r="G741" s="28" t="n">
        <v>152.3999999999996</v>
      </c>
      <c r="H741" s="10" t="n">
        <v>0.05190611940451006</v>
      </c>
      <c r="I741" s="75" t="n">
        <v>2850</v>
      </c>
    </row>
    <row r="742" spans="1:23">
      <c r="A742" s="1" t="n">
        <v>42619</v>
      </c>
      <c r="B742" s="25" t="n">
        <v>2957.56</v>
      </c>
      <c r="C742" s="1" t="n">
        <v>42984</v>
      </c>
      <c r="D742" s="25" t="n">
        <v>2923.49</v>
      </c>
      <c r="E742" s="1" t="n">
        <v>43349</v>
      </c>
      <c r="F742" s="25" t="n">
        <v>3100.37</v>
      </c>
      <c r="G742" s="28" t="n">
        <v>176.8800000000001</v>
      </c>
      <c r="H742" s="10" t="n">
        <v>0.060503028914072</v>
      </c>
      <c r="I742" s="75" t="n">
        <v>2850</v>
      </c>
    </row>
    <row r="743" spans="1:23">
      <c r="A743" s="1" t="n">
        <v>42620</v>
      </c>
      <c r="B743" s="25" t="n">
        <v>2887.64</v>
      </c>
      <c r="C743" s="1" t="n">
        <v>42985</v>
      </c>
      <c r="D743" s="25" t="n">
        <v>2919.5</v>
      </c>
      <c r="E743" s="1" t="n">
        <v>43350</v>
      </c>
      <c r="F743" s="25" t="n">
        <v>3089.47</v>
      </c>
      <c r="G743" s="28" t="n">
        <v>169.9699999999998</v>
      </c>
      <c r="H743" s="10" t="n">
        <v>0.05821887309470797</v>
      </c>
      <c r="I743" s="75" t="n">
        <v>2850</v>
      </c>
    </row>
    <row r="744" spans="1:23">
      <c r="A744" s="1" t="n">
        <v>42621</v>
      </c>
      <c r="B744" s="25" t="n">
        <v>2840.38</v>
      </c>
      <c r="C744" s="1" t="n">
        <v>42986</v>
      </c>
      <c r="D744" s="25" t="n">
        <v>2907.96</v>
      </c>
      <c r="E744" s="1" t="n">
        <v>43351</v>
      </c>
      <c r="F744" s="25" t="n">
        <v>3070.15</v>
      </c>
      <c r="G744" s="28" t="n">
        <v>162.1900000000001</v>
      </c>
      <c r="H744" s="10" t="n">
        <v>0.05577449483486707</v>
      </c>
      <c r="I744" s="75" t="n">
        <v>2850</v>
      </c>
    </row>
    <row r="745" spans="1:23">
      <c r="A745" s="1" t="n">
        <v>42622</v>
      </c>
      <c r="B745" s="25" t="n">
        <v>2846.13</v>
      </c>
      <c r="C745" s="1" t="n">
        <v>42987</v>
      </c>
      <c r="D745" s="25" t="n">
        <v>2909.15</v>
      </c>
      <c r="E745" s="1" t="n">
        <v>43352</v>
      </c>
      <c r="F745" s="25" t="n">
        <v>3070.15</v>
      </c>
      <c r="G745" s="28" t="n">
        <v>161</v>
      </c>
      <c r="H745" s="10" t="n">
        <v>0.05534262585291239</v>
      </c>
      <c r="I745" s="75" t="n">
        <v>2850</v>
      </c>
    </row>
    <row r="746" spans="1:23">
      <c r="A746" s="1" t="n">
        <v>42623</v>
      </c>
      <c r="B746" s="25" t="n">
        <v>2899.29</v>
      </c>
      <c r="C746" s="1" t="n">
        <v>42988</v>
      </c>
      <c r="D746" s="25" t="n">
        <v>2909.15</v>
      </c>
      <c r="E746" s="1" t="n">
        <v>43353</v>
      </c>
      <c r="F746" s="25" t="n">
        <v>3070.15</v>
      </c>
      <c r="G746" s="28" t="n">
        <v>161</v>
      </c>
      <c r="H746" s="10" t="n">
        <v>0.05534262585291239</v>
      </c>
      <c r="I746" s="75" t="n">
        <v>2850</v>
      </c>
    </row>
    <row r="747" spans="1:23">
      <c r="A747" s="1" t="n">
        <v>42624</v>
      </c>
      <c r="B747" s="25" t="n">
        <v>2899.29</v>
      </c>
      <c r="C747" s="1" t="n">
        <v>42989</v>
      </c>
      <c r="D747" s="25" t="n">
        <v>2909.15</v>
      </c>
      <c r="E747" s="1" t="n">
        <v>43354</v>
      </c>
      <c r="F747" s="25" t="n">
        <v>3069.49</v>
      </c>
      <c r="G747" s="28" t="n">
        <v>160.3399999999997</v>
      </c>
      <c r="H747" s="10" t="n">
        <v>0.05511575546121716</v>
      </c>
      <c r="I747" s="75" t="n">
        <v>2850</v>
      </c>
    </row>
    <row r="748" spans="1:23">
      <c r="A748" s="1" t="n">
        <v>42625</v>
      </c>
      <c r="B748" s="25" t="n">
        <v>2899.29</v>
      </c>
      <c r="C748" s="1" t="n">
        <v>42990</v>
      </c>
      <c r="D748" s="25" t="n">
        <v>2916.1</v>
      </c>
      <c r="E748" s="1" t="n">
        <v>43355</v>
      </c>
      <c r="F748" s="25" t="n">
        <v>3087.73</v>
      </c>
      <c r="G748" s="28" t="n">
        <v>171.6300000000001</v>
      </c>
      <c r="H748" s="10" t="n">
        <v>0.05885600630979737</v>
      </c>
      <c r="I748" s="75" t="n">
        <v>2850</v>
      </c>
    </row>
    <row r="749" spans="1:23">
      <c r="A749" s="1" t="n">
        <v>42626</v>
      </c>
      <c r="B749" s="25" t="n">
        <v>2942.29</v>
      </c>
      <c r="C749" s="1" t="n">
        <v>42991</v>
      </c>
      <c r="D749" s="25" t="n">
        <v>2923.03</v>
      </c>
      <c r="E749" s="1" t="n">
        <v>43356</v>
      </c>
      <c r="F749" s="25" t="n">
        <v>3055.01</v>
      </c>
      <c r="G749" s="28" t="n">
        <v>131.98</v>
      </c>
      <c r="H749" s="10" t="n">
        <v>0.04515177743642718</v>
      </c>
      <c r="I749" s="75" t="n">
        <v>2850</v>
      </c>
    </row>
    <row r="750" spans="1:23">
      <c r="A750" s="1" t="n">
        <v>42627</v>
      </c>
      <c r="B750" s="25" t="n">
        <v>2976.19</v>
      </c>
      <c r="C750" s="1" t="n">
        <v>42992</v>
      </c>
      <c r="D750" s="25" t="n">
        <v>2909.52</v>
      </c>
      <c r="E750" s="1" t="n">
        <v>43357</v>
      </c>
      <c r="F750" s="25" t="n">
        <v>3019.38</v>
      </c>
      <c r="G750" s="28" t="n">
        <v>109.8600000000001</v>
      </c>
      <c r="H750" s="10" t="n">
        <v>0.0377588055761775</v>
      </c>
      <c r="I750" s="75" t="n">
        <v>2850</v>
      </c>
    </row>
    <row r="751" spans="1:23">
      <c r="A751" s="1" t="n">
        <v>42628</v>
      </c>
      <c r="B751" s="25" t="n">
        <v>2972.65</v>
      </c>
      <c r="C751" s="1" t="n">
        <v>42993</v>
      </c>
      <c r="D751" s="25" t="n">
        <v>2905.98</v>
      </c>
      <c r="E751" s="1" t="n">
        <v>43358</v>
      </c>
      <c r="F751" s="25" t="n">
        <v>3026.05</v>
      </c>
      <c r="G751" s="28" t="n">
        <v>120.0700000000002</v>
      </c>
      <c r="H751" s="10" t="n">
        <v>0.04131824720060018</v>
      </c>
      <c r="I751" s="75" t="n">
        <v>2850</v>
      </c>
    </row>
    <row r="752" spans="1:23">
      <c r="A752" s="1" t="n">
        <v>42629</v>
      </c>
      <c r="B752" s="25" t="n">
        <v>2938.5</v>
      </c>
      <c r="C752" s="1" t="n">
        <v>42994</v>
      </c>
      <c r="D752" s="25" t="n">
        <v>2897.83</v>
      </c>
      <c r="E752" s="1" t="n">
        <v>43359</v>
      </c>
      <c r="F752" s="25" t="n">
        <v>3026.05</v>
      </c>
      <c r="G752" s="28" t="n">
        <v>128.2200000000003</v>
      </c>
      <c r="H752" s="10" t="n">
        <v>0.04424690199218051</v>
      </c>
      <c r="I752" s="75" t="n">
        <v>2850</v>
      </c>
    </row>
    <row r="753" spans="1:23">
      <c r="A753" s="1" t="n">
        <v>42630</v>
      </c>
      <c r="B753" s="25" t="n">
        <v>2956.58</v>
      </c>
      <c r="C753" s="1" t="n">
        <v>42995</v>
      </c>
      <c r="D753" s="25" t="n">
        <v>2897.83</v>
      </c>
      <c r="E753" s="1" t="n">
        <v>43360</v>
      </c>
      <c r="F753" s="25" t="n">
        <v>3026.05</v>
      </c>
      <c r="G753" s="28" t="n">
        <v>128.2200000000003</v>
      </c>
      <c r="H753" s="10" t="n">
        <v>0.04424690199218051</v>
      </c>
      <c r="I753" s="75" t="n">
        <v>2850</v>
      </c>
    </row>
    <row r="754" spans="1:23">
      <c r="A754" s="1" t="n">
        <v>42631</v>
      </c>
      <c r="B754" s="25" t="n">
        <v>2956.58</v>
      </c>
      <c r="C754" s="1" t="n">
        <v>42996</v>
      </c>
      <c r="D754" s="25" t="n">
        <v>2897.83</v>
      </c>
      <c r="E754" s="1" t="n">
        <v>43361</v>
      </c>
      <c r="F754" s="25" t="n">
        <v>3013.38</v>
      </c>
      <c r="G754" s="28" t="n">
        <v>115.5500000000002</v>
      </c>
      <c r="H754" s="10" t="n">
        <v>0.03987466483541136</v>
      </c>
      <c r="I754" s="75" t="n">
        <v>2850</v>
      </c>
    </row>
    <row r="755" spans="1:23">
      <c r="A755" s="1" t="n">
        <v>42632</v>
      </c>
      <c r="B755" s="25" t="n">
        <v>2956.58</v>
      </c>
      <c r="C755" s="1" t="n">
        <v>42997</v>
      </c>
      <c r="D755" s="25" t="n">
        <v>2906.06</v>
      </c>
      <c r="E755" s="1" t="n">
        <v>43362</v>
      </c>
      <c r="F755" s="25" t="n">
        <v>3007.03</v>
      </c>
      <c r="G755" s="28" t="n">
        <v>100.9700000000003</v>
      </c>
      <c r="H755" s="10" t="n">
        <v>0.03474463706874609</v>
      </c>
      <c r="I755" s="75" t="n">
        <v>2850</v>
      </c>
    </row>
    <row r="756" spans="1:23">
      <c r="A756" s="1" t="n">
        <v>42633</v>
      </c>
      <c r="B756" s="25" t="n">
        <v>2928.18</v>
      </c>
      <c r="C756" s="1" t="n">
        <v>42998</v>
      </c>
      <c r="D756" s="25" t="n">
        <v>2904.6</v>
      </c>
      <c r="E756" s="1" t="n">
        <v>43363</v>
      </c>
      <c r="F756" s="25" t="n">
        <v>3018.63</v>
      </c>
      <c r="G756" s="28" t="n">
        <v>114.0300000000002</v>
      </c>
      <c r="H756" s="10" t="n">
        <v>0.03925841768229721</v>
      </c>
      <c r="I756" s="75" t="n">
        <v>2850</v>
      </c>
    </row>
    <row r="757" spans="1:23">
      <c r="A757" s="1" t="n">
        <v>42634</v>
      </c>
      <c r="B757" s="25" t="n">
        <v>2911.11</v>
      </c>
      <c r="C757" s="1" t="n">
        <v>42999</v>
      </c>
      <c r="D757" s="25" t="n">
        <v>2893.18</v>
      </c>
      <c r="E757" s="1" t="n">
        <v>43364</v>
      </c>
      <c r="F757" s="25" t="n">
        <v>3014.18</v>
      </c>
      <c r="G757" s="28" t="n">
        <v>121</v>
      </c>
      <c r="H757" s="10" t="n">
        <v>0.04182249289708895</v>
      </c>
      <c r="I757" s="75" t="n">
        <v>2850</v>
      </c>
      <c r="V757" s="22" t="n"/>
    </row>
    <row r="758" spans="1:23">
      <c r="A758" s="1" t="n">
        <v>42635</v>
      </c>
      <c r="B758" s="25" t="n">
        <v>2894.15</v>
      </c>
      <c r="C758" s="1" t="n">
        <v>43000</v>
      </c>
      <c r="D758" s="25" t="n">
        <v>2913.96</v>
      </c>
      <c r="E758" s="1" t="n">
        <v>43365</v>
      </c>
      <c r="F758" s="25" t="n">
        <v>3006.96</v>
      </c>
      <c r="G758" s="28" t="n">
        <v>93</v>
      </c>
      <c r="H758" s="10" t="n">
        <v>0.03191533171354455</v>
      </c>
      <c r="I758" s="75" t="n">
        <v>2850</v>
      </c>
      <c r="Q758" s="22" t="n"/>
      <c r="R758" s="22" t="n"/>
      <c r="S758" s="22" t="n"/>
      <c r="T758" s="22" t="n"/>
      <c r="V758" s="22" t="n"/>
    </row>
    <row r="759" spans="1:23">
      <c r="A759" s="1" t="n">
        <v>42636</v>
      </c>
      <c r="B759" s="25" t="n">
        <v>2862.52</v>
      </c>
      <c r="C759" s="1" t="n">
        <v>43001</v>
      </c>
      <c r="D759" s="25" t="n">
        <v>2900.73</v>
      </c>
      <c r="E759" s="1" t="n">
        <v>43366</v>
      </c>
      <c r="F759" s="25" t="n">
        <v>3006.96</v>
      </c>
      <c r="G759" s="28" t="n">
        <v>106.23</v>
      </c>
      <c r="H759" s="10" t="n">
        <v>0.03662181588772473</v>
      </c>
      <c r="I759" s="75" t="n">
        <v>2850</v>
      </c>
      <c r="Q759" s="22" t="n"/>
      <c r="R759" s="22" t="n"/>
      <c r="S759" s="22" t="n"/>
      <c r="T759" s="22" t="n"/>
      <c r="V759" s="22" t="n"/>
    </row>
    <row r="760" spans="1:23">
      <c r="A760" s="1" t="n">
        <v>42637</v>
      </c>
      <c r="B760" s="25" t="n">
        <v>2917.95</v>
      </c>
      <c r="C760" s="1" t="n">
        <v>43002</v>
      </c>
      <c r="D760" s="25" t="n">
        <v>2900.73</v>
      </c>
      <c r="E760" s="1" t="n">
        <v>43367</v>
      </c>
      <c r="F760" s="25" t="n">
        <v>3006.96</v>
      </c>
      <c r="G760" s="28" t="n">
        <v>106.23</v>
      </c>
      <c r="H760" s="10" t="n">
        <v>0.03662181588772473</v>
      </c>
      <c r="I760" s="75" t="n">
        <v>2850</v>
      </c>
      <c r="Q760" s="22" t="n"/>
      <c r="R760" s="22" t="n"/>
      <c r="S760" s="22" t="n"/>
      <c r="T760" s="22" t="n"/>
      <c r="U760" s="21" t="n"/>
      <c r="V760" s="22" t="n"/>
      <c r="W760" s="21" t="n"/>
    </row>
    <row r="761" spans="1:23">
      <c r="A761" s="1" t="n">
        <v>42638</v>
      </c>
      <c r="B761" s="25" t="n">
        <v>2917.95</v>
      </c>
      <c r="C761" s="1" t="n">
        <v>43003</v>
      </c>
      <c r="D761" s="25" t="n">
        <v>2900.73</v>
      </c>
      <c r="E761" s="1" t="n">
        <v>43368</v>
      </c>
      <c r="F761" s="25" t="n">
        <v>2991.9</v>
      </c>
      <c r="G761" s="28" t="n">
        <v>91.17000000000007</v>
      </c>
      <c r="H761" s="10" t="n">
        <v>0.03143001933995926</v>
      </c>
      <c r="I761" s="75" t="n">
        <v>2850</v>
      </c>
      <c r="Q761" s="22" t="n"/>
      <c r="R761" s="22" t="n"/>
      <c r="S761" s="22" t="n"/>
      <c r="T761" s="22" t="n"/>
      <c r="U761" s="21" t="n"/>
      <c r="V761" s="21" t="n"/>
      <c r="W761" s="21" t="n"/>
    </row>
    <row r="762" spans="1:23">
      <c r="A762" s="1" t="n">
        <v>42639</v>
      </c>
      <c r="B762" s="25" t="n">
        <v>2917.95</v>
      </c>
      <c r="C762" s="1" t="n">
        <v>43004</v>
      </c>
      <c r="D762" s="25" t="n">
        <v>2924.57</v>
      </c>
      <c r="E762" s="1" t="n">
        <v>43369</v>
      </c>
      <c r="F762" s="25" t="n">
        <v>3001.88</v>
      </c>
      <c r="G762" s="28" t="n">
        <v>77.30999999999995</v>
      </c>
      <c r="H762" s="10" t="n">
        <v>0.02643465535104306</v>
      </c>
      <c r="I762" s="75" t="n">
        <v>2850</v>
      </c>
      <c r="Q762" s="22" t="n"/>
      <c r="R762" s="22" t="n"/>
      <c r="S762" s="22" t="n"/>
      <c r="T762" s="22" t="n"/>
      <c r="U762" s="21" t="n"/>
      <c r="V762" s="76" t="n">
        <v>2850</v>
      </c>
      <c r="W762" s="21" t="n"/>
    </row>
    <row r="763" spans="1:23">
      <c r="A763" s="1" t="n">
        <v>42640</v>
      </c>
      <c r="B763" s="25" t="n">
        <v>2917.58</v>
      </c>
      <c r="C763" s="1" t="n">
        <v>43005</v>
      </c>
      <c r="D763" s="25" t="n">
        <v>2930.7</v>
      </c>
      <c r="E763" s="1" t="n">
        <v>43370</v>
      </c>
      <c r="F763" s="25" t="n">
        <v>3000.14</v>
      </c>
      <c r="G763" s="28" t="n">
        <v>69.44000000000005</v>
      </c>
      <c r="H763" s="10" t="n">
        <v>0.02369399802095074</v>
      </c>
      <c r="I763" s="75" t="n">
        <v>2850</v>
      </c>
      <c r="L763" s="77" t="n"/>
      <c r="Q763" s="22" t="n"/>
      <c r="R763" s="22" t="n"/>
      <c r="S763" s="22" t="n"/>
      <c r="T763" s="22" t="n"/>
      <c r="U763" s="21" t="n"/>
      <c r="V763" s="78">
        <f>AVERAGE(Sept)</f>
        <v/>
      </c>
      <c r="W763" s="21" t="n"/>
    </row>
    <row r="764" spans="1:23">
      <c r="A764" s="1" t="n">
        <v>42641</v>
      </c>
      <c r="B764" s="25" t="n">
        <v>2921.99</v>
      </c>
      <c r="C764" s="1" t="n">
        <v>43006</v>
      </c>
      <c r="D764" s="25" t="n">
        <v>2940.66</v>
      </c>
      <c r="E764" s="1" t="n">
        <v>43371</v>
      </c>
      <c r="F764" s="25" t="n">
        <v>2989.58</v>
      </c>
      <c r="G764" s="28" t="n">
        <v>48.92000000000007</v>
      </c>
      <c r="H764" s="10" t="n">
        <v>0.01663572123264845</v>
      </c>
      <c r="I764" s="75" t="n">
        <v>2850</v>
      </c>
      <c r="L764" s="79" t="n"/>
      <c r="Q764" s="22" t="n"/>
      <c r="R764" s="22" t="n"/>
      <c r="S764" s="22" t="n"/>
      <c r="T764" s="22" t="n"/>
      <c r="U764" s="21" t="n"/>
      <c r="V764" s="80">
        <f>AVERAGE(Oct)</f>
        <v/>
      </c>
      <c r="W764" s="21" t="n"/>
    </row>
    <row r="765" spans="1:23">
      <c r="A765" s="1" t="n">
        <v>42642</v>
      </c>
      <c r="B765" s="25" t="n">
        <v>2914.11</v>
      </c>
      <c r="C765" s="1" t="n">
        <v>43007</v>
      </c>
      <c r="D765" s="25" t="n">
        <v>2941.07</v>
      </c>
      <c r="E765" s="1" t="n">
        <v>43372</v>
      </c>
      <c r="F765" s="25" t="n">
        <v>2972.18</v>
      </c>
      <c r="G765" s="28" t="n">
        <v>31.10999999999967</v>
      </c>
      <c r="H765" s="10" t="n">
        <v>0.01057778291574141</v>
      </c>
      <c r="I765" s="75" t="n">
        <v>2850</v>
      </c>
      <c r="L765" s="81" t="n"/>
      <c r="Q765" s="22" t="n"/>
      <c r="R765" s="22" t="n"/>
      <c r="S765" s="22" t="n"/>
      <c r="T765" s="22" t="n"/>
      <c r="U765" s="21" t="n"/>
      <c r="V765" s="82">
        <f>AVERAGE(Nov)</f>
        <v/>
      </c>
      <c r="W765" s="21" t="n"/>
    </row>
    <row r="766" spans="1:23">
      <c r="A766" s="1" t="n">
        <v>42643</v>
      </c>
      <c r="B766" s="25" t="n">
        <v>2879.95</v>
      </c>
      <c r="C766" s="1" t="n">
        <v>43008</v>
      </c>
      <c r="D766" s="25" t="n">
        <v>2936.67</v>
      </c>
      <c r="E766" s="1" t="n">
        <v>43373</v>
      </c>
      <c r="F766" s="25" t="n">
        <v>2972.18</v>
      </c>
      <c r="G766" s="28" t="n">
        <v>35.50999999999976</v>
      </c>
      <c r="H766" s="10" t="n">
        <v>0.01209192725093389</v>
      </c>
      <c r="I766" s="75" t="n">
        <v>2850</v>
      </c>
      <c r="L766" s="83" t="n"/>
      <c r="Q766" s="22" t="n"/>
      <c r="R766" s="22" t="n"/>
      <c r="S766" s="22" t="n"/>
      <c r="T766" s="22" t="n"/>
      <c r="U766" s="21" t="n"/>
      <c r="V766" s="84">
        <f>AVERAGE(Dec)</f>
        <v/>
      </c>
      <c r="W766" s="21" t="n"/>
    </row>
    <row r="767" spans="1:23">
      <c r="A767" s="1" t="n">
        <v>42644</v>
      </c>
      <c r="B767" s="25" t="n">
        <v>2880.08</v>
      </c>
      <c r="C767" s="1" t="n">
        <v>43009</v>
      </c>
      <c r="D767" s="25" t="n">
        <v>2936.67</v>
      </c>
      <c r="E767" s="1" t="n">
        <v>43374</v>
      </c>
      <c r="F767" s="25" t="n">
        <v>2972.18</v>
      </c>
      <c r="G767" s="28" t="n">
        <v>35.50999999999976</v>
      </c>
      <c r="H767" s="10" t="n">
        <v>0.01209192725093389</v>
      </c>
      <c r="I767" s="75" t="n">
        <v>2850</v>
      </c>
      <c r="Q767" s="22" t="n"/>
      <c r="R767" s="22" t="n"/>
      <c r="S767" s="22" t="n"/>
      <c r="T767" s="22" t="n"/>
      <c r="U767" s="21" t="n"/>
      <c r="V767" s="85">
        <f>AVERAGE(Jan)</f>
        <v/>
      </c>
      <c r="W767" s="21" t="n"/>
    </row>
    <row r="768" spans="1:23">
      <c r="A768" s="1" t="n">
        <v>42645</v>
      </c>
      <c r="B768" s="25" t="n">
        <v>2880.08</v>
      </c>
      <c r="C768" s="1" t="n">
        <v>43010</v>
      </c>
      <c r="D768" s="25" t="n">
        <v>2936.67</v>
      </c>
      <c r="E768" s="1" t="n">
        <v>43375</v>
      </c>
      <c r="F768" s="25" t="n">
        <v>2993.74</v>
      </c>
      <c r="G768" s="28" t="n">
        <v>57.06999999999971</v>
      </c>
      <c r="H768" s="10" t="n">
        <v>0.01943357612533925</v>
      </c>
      <c r="I768" s="75" t="n">
        <v>2850</v>
      </c>
      <c r="L768" s="86" t="n"/>
      <c r="Q768" s="22" t="n"/>
      <c r="R768" s="22" t="n"/>
      <c r="S768" s="22" t="n"/>
      <c r="T768" s="22" t="n"/>
      <c r="U768" s="21" t="n"/>
      <c r="V768" s="87">
        <f>AVERAGE(Feb)</f>
        <v/>
      </c>
      <c r="W768" s="21" t="n"/>
    </row>
    <row r="769" spans="1:23">
      <c r="A769" s="1" t="n">
        <v>42646</v>
      </c>
      <c r="B769" s="25" t="n">
        <v>2880.08</v>
      </c>
      <c r="C769" s="1" t="n">
        <v>43011</v>
      </c>
      <c r="D769" s="25" t="n">
        <v>2949.33</v>
      </c>
      <c r="E769" s="1" t="n">
        <v>43376</v>
      </c>
      <c r="F769" s="25" t="n">
        <v>3005.5</v>
      </c>
      <c r="G769" s="28" t="n">
        <v>56.17000000000007</v>
      </c>
      <c r="H769" s="10" t="n">
        <v>0.01904500344145954</v>
      </c>
      <c r="I769" s="75" t="n">
        <v>2850</v>
      </c>
      <c r="L769" s="88" t="n"/>
      <c r="Q769" s="22" t="n"/>
      <c r="R769" s="22" t="n"/>
      <c r="S769" s="22" t="n"/>
      <c r="T769" s="22" t="n"/>
      <c r="U769" s="21" t="n"/>
      <c r="V769" s="89">
        <f>AVERAGE(Mar)</f>
        <v/>
      </c>
      <c r="W769" s="21" t="n"/>
    </row>
    <row r="770" spans="1:23">
      <c r="A770" s="1" t="n">
        <v>42647</v>
      </c>
      <c r="B770" s="25" t="n">
        <v>2937.23</v>
      </c>
      <c r="C770" s="1" t="n">
        <v>43012</v>
      </c>
      <c r="D770" s="25" t="n">
        <v>2953.81</v>
      </c>
      <c r="E770" s="1" t="n">
        <v>43377</v>
      </c>
      <c r="F770" s="25" t="n">
        <v>3012.65</v>
      </c>
      <c r="G770" s="28" t="n">
        <v>58.84000000000015</v>
      </c>
      <c r="H770" s="10" t="n">
        <v>0.01992003547960097</v>
      </c>
      <c r="I770" s="75" t="n">
        <v>2850</v>
      </c>
      <c r="L770" s="90" t="n"/>
      <c r="Q770" s="22" t="n"/>
      <c r="R770" s="22" t="n"/>
      <c r="S770" s="22" t="n"/>
      <c r="T770" s="22" t="n"/>
      <c r="U770" s="21" t="n"/>
      <c r="V770" s="91">
        <f>AVERAGE(Apr)</f>
        <v/>
      </c>
      <c r="W770" s="21" t="n"/>
    </row>
    <row r="771" spans="1:23">
      <c r="A771" s="1" t="n">
        <v>42648</v>
      </c>
      <c r="B771" s="25" t="n">
        <v>2963.06</v>
      </c>
      <c r="C771" s="1" t="n">
        <v>43013</v>
      </c>
      <c r="D771" s="25" t="n">
        <v>2945.59</v>
      </c>
      <c r="E771" s="1" t="n">
        <v>43378</v>
      </c>
      <c r="F771" s="25" t="n">
        <v>3028.16</v>
      </c>
      <c r="G771" s="28" t="n">
        <v>82.56999999999971</v>
      </c>
      <c r="H771" s="10" t="n">
        <v>0.02803173557759209</v>
      </c>
      <c r="I771" s="75" t="n">
        <v>2850</v>
      </c>
      <c r="L771" s="92" t="n"/>
      <c r="Q771" s="22" t="n"/>
      <c r="R771" s="22" t="n"/>
      <c r="S771" s="22" t="n"/>
      <c r="T771" s="22" t="n"/>
      <c r="U771" s="21" t="n"/>
      <c r="V771" s="93">
        <f>AVERAGE(May)</f>
        <v/>
      </c>
      <c r="W771" s="21" t="n"/>
    </row>
    <row r="772" spans="1:23">
      <c r="A772" s="1" t="n">
        <v>42649</v>
      </c>
      <c r="B772" s="25" t="n">
        <v>2964.93</v>
      </c>
      <c r="C772" s="1" t="n">
        <v>43014</v>
      </c>
      <c r="D772" s="25" t="n">
        <v>2926.82</v>
      </c>
      <c r="E772" s="1" t="n">
        <v>43379</v>
      </c>
      <c r="F772" s="25" t="n">
        <v>3031.31</v>
      </c>
      <c r="G772" s="28" t="n">
        <v>104.4899999999998</v>
      </c>
      <c r="H772" s="10" t="n">
        <v>0.0357008630527329</v>
      </c>
      <c r="I772" s="75" t="n">
        <v>2850</v>
      </c>
      <c r="L772" s="94" t="n"/>
      <c r="U772" s="21" t="n"/>
      <c r="V772" s="95">
        <f>AVERAGE(June)</f>
        <v/>
      </c>
      <c r="W772" s="21" t="n"/>
    </row>
    <row r="773" spans="1:23">
      <c r="A773" s="1" t="n">
        <v>42650</v>
      </c>
      <c r="B773" s="25" t="n">
        <v>2924.8</v>
      </c>
      <c r="C773" s="1" t="n">
        <v>43015</v>
      </c>
      <c r="D773" s="25" t="n">
        <v>2942.19</v>
      </c>
      <c r="E773" s="1" t="n">
        <v>43380</v>
      </c>
      <c r="F773" s="25" t="n">
        <v>3031.31</v>
      </c>
      <c r="G773" s="28" t="n">
        <v>89.11999999999989</v>
      </c>
      <c r="H773" s="10" t="n">
        <v>0.0302903619412751</v>
      </c>
      <c r="I773" s="75" t="n">
        <v>2850</v>
      </c>
      <c r="L773" s="96" t="n"/>
      <c r="U773" s="21" t="n"/>
      <c r="V773" s="97">
        <f>AVERAGE(July)</f>
        <v/>
      </c>
      <c r="W773" s="21" t="n"/>
    </row>
    <row r="774" spans="1:23">
      <c r="A774" s="1" t="n">
        <v>42651</v>
      </c>
      <c r="B774" s="25" t="n">
        <v>2913.96</v>
      </c>
      <c r="C774" s="1" t="n">
        <v>43016</v>
      </c>
      <c r="D774" s="25" t="n">
        <v>2942.19</v>
      </c>
      <c r="E774" s="1" t="n">
        <v>43381</v>
      </c>
      <c r="F774" s="25" t="n">
        <v>3031.31</v>
      </c>
      <c r="G774" s="28" t="n">
        <v>89.11999999999989</v>
      </c>
      <c r="H774" s="10" t="n">
        <v>0.0302903619412751</v>
      </c>
      <c r="I774" s="75" t="n">
        <v>2850</v>
      </c>
      <c r="U774" s="21" t="n"/>
      <c r="V774" s="98">
        <f>AVERAGE(Aug)</f>
        <v/>
      </c>
      <c r="W774" s="21" t="n"/>
    </row>
    <row r="775" spans="1:23">
      <c r="A775" s="1" t="n">
        <v>42652</v>
      </c>
      <c r="B775" s="25" t="n">
        <v>2913.96</v>
      </c>
      <c r="C775" s="1" t="n">
        <v>43017</v>
      </c>
      <c r="D775" s="25" t="n">
        <v>2942.19</v>
      </c>
      <c r="E775" s="1" t="n">
        <v>43382</v>
      </c>
      <c r="F775" s="25" t="n">
        <v>3031.31</v>
      </c>
      <c r="G775" s="28" t="n">
        <v>89.11999999999989</v>
      </c>
      <c r="H775" s="10" t="n">
        <v>0.0302903619412751</v>
      </c>
      <c r="I775" s="75" t="n">
        <v>2850</v>
      </c>
      <c r="V775" s="21" t="n"/>
      <c r="W775" s="63" t="n"/>
    </row>
    <row r="776" spans="1:23">
      <c r="A776" s="1" t="n">
        <v>42653</v>
      </c>
      <c r="B776" s="25" t="n">
        <v>2913.96</v>
      </c>
      <c r="C776" s="1" t="n">
        <v>43018</v>
      </c>
      <c r="D776" s="25" t="n">
        <v>2942.19</v>
      </c>
      <c r="E776" s="1" t="n">
        <v>43383</v>
      </c>
      <c r="F776" s="25" t="n">
        <v>3057.55</v>
      </c>
      <c r="G776" s="28" t="n">
        <v>115.3600000000001</v>
      </c>
      <c r="H776" s="10" t="n">
        <v>0.03920888861698257</v>
      </c>
      <c r="I776" s="75" t="n">
        <v>2850</v>
      </c>
      <c r="V776" s="21" t="n"/>
      <c r="W776" s="63" t="n"/>
    </row>
    <row r="777" spans="1:23">
      <c r="A777" s="1" t="n">
        <v>42654</v>
      </c>
      <c r="B777" s="25" t="n">
        <v>2913.96</v>
      </c>
      <c r="C777" s="1" t="n">
        <v>43019</v>
      </c>
      <c r="D777" s="25" t="n">
        <v>2947.06</v>
      </c>
      <c r="E777" s="1" t="n">
        <v>43384</v>
      </c>
      <c r="F777" s="25" t="n">
        <v>3090.3</v>
      </c>
      <c r="G777" s="28" t="n">
        <v>143.2400000000002</v>
      </c>
      <c r="H777" s="10" t="n">
        <v>0.04860437181462207</v>
      </c>
      <c r="I777" s="75" t="n">
        <v>2850</v>
      </c>
      <c r="V777" s="21" t="n"/>
      <c r="W777" s="63" t="n"/>
    </row>
    <row r="778" spans="1:23">
      <c r="A778" s="1" t="n">
        <v>42655</v>
      </c>
      <c r="B778" s="25" t="n">
        <v>2919.51</v>
      </c>
      <c r="C778" s="1" t="n">
        <v>43020</v>
      </c>
      <c r="D778" s="25" t="n">
        <v>2953.77</v>
      </c>
      <c r="E778" s="1" t="n">
        <v>43385</v>
      </c>
      <c r="F778" s="25" t="n">
        <v>3087.34</v>
      </c>
      <c r="G778" s="28" t="n">
        <v>133.5700000000002</v>
      </c>
      <c r="H778" s="10" t="n">
        <v>0.04522017624933561</v>
      </c>
      <c r="I778" s="75" t="n">
        <v>2850</v>
      </c>
      <c r="V778" s="21" t="n"/>
      <c r="W778" s="63" t="n"/>
    </row>
    <row r="779" spans="1:23">
      <c r="A779" s="1" t="n">
        <v>42656</v>
      </c>
      <c r="B779" s="25" t="n">
        <v>2919.18</v>
      </c>
      <c r="C779" s="1" t="n">
        <v>43021</v>
      </c>
      <c r="D779" s="25" t="n">
        <v>2949.69</v>
      </c>
      <c r="E779" s="1" t="n">
        <v>43386</v>
      </c>
      <c r="F779" s="25" t="n">
        <v>3088.78</v>
      </c>
      <c r="G779" s="28" t="n">
        <v>139.0900000000001</v>
      </c>
      <c r="H779" s="10" t="n">
        <v>0.04715410771979434</v>
      </c>
      <c r="I779" s="75" t="n">
        <v>2850</v>
      </c>
      <c r="V779" s="21" t="n"/>
      <c r="W779" s="63" t="n"/>
    </row>
    <row r="780" spans="1:23">
      <c r="A780" s="1" t="n">
        <v>42657</v>
      </c>
      <c r="B780" s="25" t="n">
        <v>2930.78</v>
      </c>
      <c r="C780" s="1" t="n">
        <v>43022</v>
      </c>
      <c r="D780" s="25" t="n">
        <v>2932.05</v>
      </c>
      <c r="E780" s="1" t="n">
        <v>43387</v>
      </c>
      <c r="F780" s="25" t="n">
        <v>3088.78</v>
      </c>
      <c r="G780" s="28" t="n">
        <v>156.73</v>
      </c>
      <c r="H780" s="10" t="n">
        <v>0.05345406797292007</v>
      </c>
      <c r="I780" s="75" t="n">
        <v>2850</v>
      </c>
      <c r="V780" s="22" t="n"/>
      <c r="W780" s="63" t="n"/>
    </row>
    <row r="781" spans="1:23">
      <c r="A781" s="1" t="n">
        <v>42658</v>
      </c>
      <c r="B781" s="25" t="n">
        <v>2915.67</v>
      </c>
      <c r="C781" s="1" t="n">
        <v>43023</v>
      </c>
      <c r="D781" s="25" t="n">
        <v>2932.05</v>
      </c>
      <c r="E781" s="1" t="n">
        <v>43388</v>
      </c>
      <c r="F781" s="25" t="n">
        <v>3088.78</v>
      </c>
      <c r="G781" s="28" t="n">
        <v>156.73</v>
      </c>
      <c r="H781" s="10" t="n">
        <v>0.05345406797292007</v>
      </c>
      <c r="I781" s="75" t="n">
        <v>2850</v>
      </c>
      <c r="V781" s="22" t="n"/>
      <c r="W781" s="63" t="n"/>
    </row>
    <row r="782" spans="1:23">
      <c r="A782" s="1" t="n">
        <v>42659</v>
      </c>
      <c r="B782" s="25" t="n">
        <v>2915.67</v>
      </c>
      <c r="C782" s="1" t="n">
        <v>43024</v>
      </c>
      <c r="D782" s="25" t="n">
        <v>2932.05</v>
      </c>
      <c r="E782" s="1" t="n">
        <v>43389</v>
      </c>
      <c r="F782" s="25" t="n">
        <v>3088.78</v>
      </c>
      <c r="G782" s="28" t="n">
        <v>156.73</v>
      </c>
      <c r="H782" s="10" t="n">
        <v>0.05345406797292007</v>
      </c>
      <c r="I782" s="75" t="n">
        <v>2850</v>
      </c>
      <c r="V782" s="22" t="n"/>
      <c r="W782" s="63" t="n"/>
    </row>
    <row r="783" spans="1:23">
      <c r="A783" s="1" t="n">
        <v>42660</v>
      </c>
      <c r="B783" s="25" t="n">
        <v>2915.67</v>
      </c>
      <c r="C783" s="1" t="n">
        <v>43025</v>
      </c>
      <c r="D783" s="25" t="n">
        <v>2932.05</v>
      </c>
      <c r="E783" s="1" t="n">
        <v>43390</v>
      </c>
      <c r="F783" s="25" t="n">
        <v>3055.93</v>
      </c>
      <c r="G783" s="28" t="n">
        <v>123.8799999999997</v>
      </c>
      <c r="H783" s="10" t="n">
        <v>0.04225030268924468</v>
      </c>
      <c r="I783" s="75" t="n">
        <v>2850</v>
      </c>
      <c r="W783" s="63" t="n"/>
    </row>
    <row r="784" spans="1:23">
      <c r="A784" s="1" t="n">
        <v>42661</v>
      </c>
      <c r="B784" s="25" t="n">
        <v>2915.67</v>
      </c>
      <c r="C784" s="1" t="n">
        <v>43026</v>
      </c>
      <c r="D784" s="25" t="n">
        <v>2944.27</v>
      </c>
      <c r="E784" s="1" t="n">
        <v>43391</v>
      </c>
      <c r="F784" s="25" t="n">
        <v>3056.37</v>
      </c>
      <c r="G784" s="28" t="n">
        <v>112.0999999999999</v>
      </c>
      <c r="H784" s="10" t="n">
        <v>0.03807395381537693</v>
      </c>
      <c r="I784" s="75" t="n">
        <v>2850</v>
      </c>
    </row>
    <row r="785" spans="1:23">
      <c r="A785" s="1" t="n">
        <v>42662</v>
      </c>
      <c r="B785" s="25" t="n">
        <v>2905.93</v>
      </c>
      <c r="C785" s="1" t="n">
        <v>43027</v>
      </c>
      <c r="D785" s="25" t="n">
        <v>2935.66</v>
      </c>
      <c r="E785" s="1" t="n">
        <v>43392</v>
      </c>
      <c r="F785" s="25" t="n">
        <v>3088.47</v>
      </c>
      <c r="G785" s="28" t="n">
        <v>152.8099999999999</v>
      </c>
      <c r="H785" s="10" t="n">
        <v>0.05205303066431388</v>
      </c>
      <c r="I785" s="75" t="n">
        <v>2850</v>
      </c>
    </row>
    <row r="786" spans="1:23">
      <c r="A786" s="1" t="n">
        <v>42663</v>
      </c>
      <c r="B786" s="25" t="n">
        <v>2914.15</v>
      </c>
      <c r="C786" s="1" t="n">
        <v>43028</v>
      </c>
      <c r="D786" s="25" t="n">
        <v>2921.92</v>
      </c>
      <c r="E786" s="1" t="n">
        <v>43393</v>
      </c>
      <c r="F786" s="25" t="n">
        <v>3079.88</v>
      </c>
      <c r="G786" s="28" t="n">
        <v>157.96</v>
      </c>
      <c r="H786" s="10" t="n">
        <v>0.05406034388347392</v>
      </c>
      <c r="I786" s="75" t="n">
        <v>2850</v>
      </c>
    </row>
    <row r="787" spans="1:23">
      <c r="A787" s="1" t="n">
        <v>42664</v>
      </c>
      <c r="B787" s="25" t="n">
        <v>2934.03</v>
      </c>
      <c r="C787" s="1" t="n">
        <v>43029</v>
      </c>
      <c r="D787" s="25" t="n">
        <v>2936.66</v>
      </c>
      <c r="E787" s="1" t="n">
        <v>43394</v>
      </c>
      <c r="F787" s="25" t="n">
        <v>3079.88</v>
      </c>
      <c r="G787" s="28" t="n">
        <v>143.2200000000003</v>
      </c>
      <c r="H787" s="10" t="n">
        <v>0.04876969073709603</v>
      </c>
      <c r="I787" s="75" t="n">
        <v>2850</v>
      </c>
    </row>
    <row r="788" spans="1:23">
      <c r="A788" s="1" t="n">
        <v>42665</v>
      </c>
      <c r="B788" s="25" t="n">
        <v>2944.25</v>
      </c>
      <c r="C788" s="1" t="n">
        <v>43030</v>
      </c>
      <c r="D788" s="25" t="n">
        <v>2936.66</v>
      </c>
      <c r="E788" s="1" t="n">
        <v>43395</v>
      </c>
      <c r="F788" s="25" t="n">
        <v>3079.88</v>
      </c>
      <c r="G788" s="28" t="n">
        <v>143.2200000000003</v>
      </c>
      <c r="H788" s="10" t="n">
        <v>0.04876969073709603</v>
      </c>
      <c r="I788" s="75" t="n">
        <v>2850</v>
      </c>
    </row>
    <row r="789" spans="1:23">
      <c r="A789" s="1" t="n">
        <v>42666</v>
      </c>
      <c r="B789" s="25" t="n">
        <v>2944.25</v>
      </c>
      <c r="C789" s="1" t="n">
        <v>43031</v>
      </c>
      <c r="D789" s="25" t="n">
        <v>2936.66</v>
      </c>
      <c r="E789" s="1" t="n">
        <v>43396</v>
      </c>
      <c r="F789" s="25" t="n">
        <v>3087.58</v>
      </c>
      <c r="G789" s="28" t="n">
        <v>150.9200000000001</v>
      </c>
      <c r="H789" s="10" t="n">
        <v>0.0513917171208107</v>
      </c>
      <c r="I789" s="75" t="n">
        <v>2850</v>
      </c>
    </row>
    <row r="790" spans="1:23">
      <c r="A790" s="1" t="n">
        <v>42667</v>
      </c>
      <c r="B790" s="25" t="n">
        <v>2944.25</v>
      </c>
      <c r="C790" s="1" t="n">
        <v>43032</v>
      </c>
      <c r="D790" s="25" t="n">
        <v>2947.69</v>
      </c>
      <c r="E790" s="1" t="n">
        <v>43397</v>
      </c>
      <c r="F790" s="25" t="n">
        <v>3110.2</v>
      </c>
      <c r="G790" s="28" t="n">
        <v>162.5099999999998</v>
      </c>
      <c r="H790" s="10" t="n">
        <v>0.05513130620926887</v>
      </c>
      <c r="I790" s="75" t="n">
        <v>2850</v>
      </c>
    </row>
    <row r="791" spans="1:23">
      <c r="A791" s="1" t="n">
        <v>42668</v>
      </c>
      <c r="B791" s="25" t="n">
        <v>2929.83</v>
      </c>
      <c r="C791" s="1" t="n">
        <v>43033</v>
      </c>
      <c r="D791" s="25" t="n">
        <v>2971.36</v>
      </c>
      <c r="E791" s="1" t="n">
        <v>43398</v>
      </c>
      <c r="F791" s="25" t="n">
        <v>3149.7</v>
      </c>
      <c r="G791" s="28" t="n">
        <v>178.3399999999997</v>
      </c>
      <c r="H791" s="10" t="n">
        <v>0.06001965429971445</v>
      </c>
      <c r="I791" s="75" t="n">
        <v>2850</v>
      </c>
    </row>
    <row r="792" spans="1:23">
      <c r="A792" s="1" t="n">
        <v>42669</v>
      </c>
      <c r="B792" s="25" t="n">
        <v>2941.34</v>
      </c>
      <c r="C792" s="1" t="n">
        <v>43034</v>
      </c>
      <c r="D792" s="25" t="n">
        <v>2989.39</v>
      </c>
      <c r="E792" s="1" t="n">
        <v>43399</v>
      </c>
      <c r="F792" s="25" t="n">
        <v>3167.18</v>
      </c>
      <c r="G792" s="28" t="n">
        <v>177.79</v>
      </c>
      <c r="H792" s="10" t="n">
        <v>0.05947367188623764</v>
      </c>
      <c r="I792" s="75" t="n">
        <v>2850</v>
      </c>
    </row>
    <row r="793" spans="1:23">
      <c r="A793" s="1" t="n">
        <v>42670</v>
      </c>
      <c r="B793" s="25" t="n">
        <v>2965.18</v>
      </c>
      <c r="C793" s="1" t="n">
        <v>43035</v>
      </c>
      <c r="D793" s="25" t="n">
        <v>3008.8</v>
      </c>
      <c r="E793" s="1" t="n">
        <v>43400</v>
      </c>
      <c r="F793" s="25" t="n">
        <v>3185.26</v>
      </c>
      <c r="G793" s="28" t="n">
        <v>176.46</v>
      </c>
      <c r="H793" s="10" t="n">
        <v>0.05864796596649824</v>
      </c>
      <c r="I793" s="75" t="n">
        <v>2850</v>
      </c>
    </row>
    <row r="794" spans="1:23">
      <c r="A794" s="1" t="n">
        <v>42671</v>
      </c>
      <c r="B794" s="25" t="n">
        <v>2966.61</v>
      </c>
      <c r="C794" s="1" t="n">
        <v>43036</v>
      </c>
      <c r="D794" s="25" t="n">
        <v>3009.85</v>
      </c>
      <c r="E794" s="1" t="n">
        <v>43401</v>
      </c>
      <c r="F794" s="25" t="n">
        <v>3185.26</v>
      </c>
      <c r="G794" s="28" t="n">
        <v>175.4100000000003</v>
      </c>
      <c r="H794" s="10" t="n">
        <v>0.05827865176005464</v>
      </c>
      <c r="I794" s="75" t="n">
        <v>2850</v>
      </c>
    </row>
    <row r="795" spans="1:23">
      <c r="A795" s="1" t="n">
        <v>42672</v>
      </c>
      <c r="B795" s="25" t="n">
        <v>2967.66</v>
      </c>
      <c r="C795" s="1" t="n">
        <v>43037</v>
      </c>
      <c r="D795" s="25" t="n">
        <v>3009.85</v>
      </c>
      <c r="E795" s="1" t="n">
        <v>43402</v>
      </c>
      <c r="F795" s="25" t="n">
        <v>3185.26</v>
      </c>
      <c r="G795" s="28" t="n">
        <v>175.4100000000003</v>
      </c>
      <c r="H795" s="10" t="n">
        <v>0.05827865176005464</v>
      </c>
      <c r="I795" s="75" t="n">
        <v>2850</v>
      </c>
    </row>
    <row r="796" spans="1:23">
      <c r="A796" s="1" t="n">
        <v>42673</v>
      </c>
      <c r="B796" s="25" t="n">
        <v>2967.66</v>
      </c>
      <c r="C796" s="1" t="n">
        <v>43038</v>
      </c>
      <c r="D796" s="25" t="n">
        <v>3009.85</v>
      </c>
      <c r="E796" s="1" t="n">
        <v>43403</v>
      </c>
      <c r="F796" s="25" t="n">
        <v>3188.69</v>
      </c>
      <c r="G796" s="28" t="n">
        <v>178.8400000000001</v>
      </c>
      <c r="H796" s="10" t="n">
        <v>0.05941824343405822</v>
      </c>
      <c r="I796" s="75" t="n">
        <v>2850</v>
      </c>
    </row>
    <row r="797" spans="1:23">
      <c r="A797" s="1" t="n">
        <v>42674</v>
      </c>
      <c r="B797" s="25" t="n">
        <v>2967.66</v>
      </c>
      <c r="C797" s="1" t="n">
        <v>43039</v>
      </c>
      <c r="D797" s="25" t="n">
        <v>3011.44</v>
      </c>
      <c r="E797" s="1" t="n">
        <v>43404</v>
      </c>
      <c r="F797" s="25" t="n">
        <v>3202.44</v>
      </c>
      <c r="G797" s="28" t="n">
        <v>191</v>
      </c>
      <c r="H797" s="10" t="n">
        <v>0.06342480673697626</v>
      </c>
      <c r="I797" s="75" t="n">
        <v>2850</v>
      </c>
    </row>
    <row r="798" spans="1:23">
      <c r="A798" s="1" t="n">
        <v>42675</v>
      </c>
      <c r="B798" s="25" t="n">
        <v>2988.55</v>
      </c>
      <c r="C798" s="1" t="n">
        <v>43040</v>
      </c>
      <c r="D798" s="25" t="n">
        <v>3039.19</v>
      </c>
      <c r="E798" s="1" t="n">
        <v>43405</v>
      </c>
      <c r="F798" s="25" t="n">
        <v>3219.85</v>
      </c>
      <c r="G798" s="28" t="n">
        <v>180.6599999999999</v>
      </c>
      <c r="H798" s="10" t="n">
        <v>0.05944347013513473</v>
      </c>
      <c r="I798" s="75" t="n">
        <v>2850</v>
      </c>
    </row>
    <row r="799" spans="1:23">
      <c r="A799" s="1" t="n">
        <v>42676</v>
      </c>
      <c r="B799" s="25" t="n">
        <v>3026.68</v>
      </c>
      <c r="C799" s="1" t="n">
        <v>43041</v>
      </c>
      <c r="D799" s="25" t="n">
        <v>3038.56</v>
      </c>
      <c r="E799" s="1" t="n">
        <v>43406</v>
      </c>
      <c r="F799" s="25" t="n">
        <v>3193.8</v>
      </c>
      <c r="G799" s="28" t="n">
        <v>155.2400000000002</v>
      </c>
      <c r="H799" s="10" t="n">
        <v>0.05108998999526104</v>
      </c>
      <c r="I799" s="75" t="n">
        <v>2850</v>
      </c>
    </row>
    <row r="800" spans="1:23">
      <c r="A800" s="1" t="n">
        <v>42677</v>
      </c>
      <c r="B800" s="25" t="n">
        <v>3070.54</v>
      </c>
      <c r="C800" s="1" t="n">
        <v>43042</v>
      </c>
      <c r="D800" s="25" t="n">
        <v>3054.38</v>
      </c>
      <c r="E800" s="1" t="n">
        <v>43407</v>
      </c>
      <c r="F800" s="25" t="n">
        <v>3177.57</v>
      </c>
      <c r="G800" s="28" t="n">
        <v>123.1900000000001</v>
      </c>
      <c r="H800" s="10" t="n">
        <v>0.0403322441870364</v>
      </c>
      <c r="I800" s="75" t="n">
        <v>2850</v>
      </c>
    </row>
    <row r="801" spans="1:23">
      <c r="A801" s="1" t="n">
        <v>42678</v>
      </c>
      <c r="B801" s="25" t="n">
        <v>3071.12</v>
      </c>
      <c r="C801" s="1" t="n">
        <v>43043</v>
      </c>
      <c r="D801" s="25" t="n">
        <v>3055.57</v>
      </c>
      <c r="E801" s="1" t="n">
        <v>43408</v>
      </c>
      <c r="F801" s="25" t="n">
        <v>3177.57</v>
      </c>
      <c r="G801" s="28" t="n">
        <v>122</v>
      </c>
      <c r="H801" s="10" t="n">
        <v>0.03992708398105749</v>
      </c>
      <c r="I801" s="75" t="n">
        <v>2850</v>
      </c>
    </row>
    <row r="802" spans="1:23">
      <c r="A802" s="1" t="n">
        <v>42679</v>
      </c>
      <c r="B802" s="25" t="n">
        <v>3070.4</v>
      </c>
      <c r="C802" s="1" t="n">
        <v>43044</v>
      </c>
      <c r="D802" s="25" t="n">
        <v>3055.57</v>
      </c>
      <c r="E802" s="1" t="n">
        <v>43409</v>
      </c>
      <c r="F802" s="25" t="n">
        <v>3177.57</v>
      </c>
      <c r="G802" s="28" t="n">
        <v>122</v>
      </c>
      <c r="H802" s="10" t="n">
        <v>0.03992708398105749</v>
      </c>
      <c r="I802" s="75" t="n">
        <v>2850</v>
      </c>
    </row>
    <row r="803" spans="1:23">
      <c r="A803" s="1" t="n">
        <v>42680</v>
      </c>
      <c r="B803" s="25" t="n">
        <v>3070.4</v>
      </c>
      <c r="C803" s="1" t="n">
        <v>43045</v>
      </c>
      <c r="D803" s="25" t="n">
        <v>3055.57</v>
      </c>
      <c r="E803" s="1" t="n">
        <v>43410</v>
      </c>
      <c r="F803" s="25" t="n">
        <v>3177.57</v>
      </c>
      <c r="G803" s="28" t="n">
        <v>122</v>
      </c>
      <c r="H803" s="10" t="n">
        <v>0.03992708398105749</v>
      </c>
      <c r="I803" s="75" t="n">
        <v>2850</v>
      </c>
    </row>
    <row r="804" spans="1:23">
      <c r="A804" s="1" t="n">
        <v>42681</v>
      </c>
      <c r="B804" s="25" t="n">
        <v>3070.4</v>
      </c>
      <c r="C804" s="1" t="n">
        <v>43046</v>
      </c>
      <c r="D804" s="25" t="n">
        <v>3055.57</v>
      </c>
      <c r="E804" s="1" t="n">
        <v>43411</v>
      </c>
      <c r="F804" s="25" t="n">
        <v>3154.55</v>
      </c>
      <c r="G804" s="28" t="n">
        <v>98.98000000000002</v>
      </c>
      <c r="H804" s="10" t="n">
        <v>0.03239330141348429</v>
      </c>
      <c r="I804" s="75" t="n">
        <v>2850</v>
      </c>
    </row>
    <row r="805" spans="1:23">
      <c r="A805" s="1" t="n">
        <v>42682</v>
      </c>
      <c r="B805" s="25" t="n">
        <v>3070.4</v>
      </c>
      <c r="C805" s="1" t="n">
        <v>43047</v>
      </c>
      <c r="D805" s="25" t="n">
        <v>3026.94</v>
      </c>
      <c r="E805" s="1" t="n">
        <v>43412</v>
      </c>
      <c r="F805" s="25" t="n">
        <v>3140.25</v>
      </c>
      <c r="G805" s="28" t="n">
        <v>113.3099999999999</v>
      </c>
      <c r="H805" s="10" t="n">
        <v>0.03743384408016004</v>
      </c>
      <c r="I805" s="75" t="n">
        <v>2850</v>
      </c>
    </row>
    <row r="806" spans="1:23">
      <c r="A806" s="1" t="n">
        <v>42683</v>
      </c>
      <c r="B806" s="25" t="n">
        <v>2984.78</v>
      </c>
      <c r="C806" s="1" t="n">
        <v>43048</v>
      </c>
      <c r="D806" s="25" t="n">
        <v>3017.78</v>
      </c>
      <c r="E806" s="1" t="n">
        <v>43413</v>
      </c>
      <c r="F806" s="25" t="n">
        <v>3145.39</v>
      </c>
      <c r="G806" s="28" t="n">
        <v>127.6099999999997</v>
      </c>
      <c r="H806" s="10" t="n">
        <v>0.04228605133574992</v>
      </c>
      <c r="I806" s="75" t="n">
        <v>2850</v>
      </c>
    </row>
    <row r="807" spans="1:23">
      <c r="A807" s="1" t="n">
        <v>42684</v>
      </c>
      <c r="B807" s="25" t="n">
        <v>3012.12</v>
      </c>
      <c r="C807" s="1" t="n">
        <v>43049</v>
      </c>
      <c r="D807" s="25" t="n">
        <v>3015.52</v>
      </c>
      <c r="E807" s="1" t="n">
        <v>43414</v>
      </c>
      <c r="F807" s="25" t="n">
        <v>3176.89</v>
      </c>
      <c r="G807" s="28" t="n">
        <v>161.3699999999999</v>
      </c>
      <c r="H807" s="10" t="n">
        <v>0.05351315859287942</v>
      </c>
      <c r="I807" s="75" t="n">
        <v>2850</v>
      </c>
    </row>
    <row r="808" spans="1:23">
      <c r="A808" s="1" t="n">
        <v>42685</v>
      </c>
      <c r="B808" s="25" t="n">
        <v>3100.12</v>
      </c>
      <c r="C808" s="1" t="n">
        <v>43050</v>
      </c>
      <c r="D808" s="25" t="n">
        <v>3004.88</v>
      </c>
      <c r="E808" s="1" t="n">
        <v>43415</v>
      </c>
      <c r="F808" s="25" t="n">
        <v>3176.89</v>
      </c>
      <c r="G808" s="28" t="n">
        <v>172.0099999999998</v>
      </c>
      <c r="H808" s="10" t="n">
        <v>0.057243550491201</v>
      </c>
      <c r="I808" s="75" t="n">
        <v>2850</v>
      </c>
    </row>
    <row r="809" spans="1:23">
      <c r="A809" s="1" t="n">
        <v>42686</v>
      </c>
      <c r="B809" s="25" t="n">
        <v>3100.12</v>
      </c>
      <c r="C809" s="1" t="n">
        <v>43051</v>
      </c>
      <c r="D809" s="25" t="n">
        <v>3004.88</v>
      </c>
      <c r="E809" s="1" t="n">
        <v>43416</v>
      </c>
      <c r="F809" s="25" t="n">
        <v>3176.89</v>
      </c>
      <c r="G809" s="28" t="n">
        <v>172.0099999999998</v>
      </c>
      <c r="H809" s="10" t="n">
        <v>0.057243550491201</v>
      </c>
      <c r="I809" s="75" t="n">
        <v>2850</v>
      </c>
    </row>
    <row r="810" spans="1:23">
      <c r="A810" s="1" t="n">
        <v>42687</v>
      </c>
      <c r="B810" s="25" t="n">
        <v>3100.12</v>
      </c>
      <c r="C810" s="1" t="n">
        <v>43052</v>
      </c>
      <c r="D810" s="25" t="n">
        <v>3004.88</v>
      </c>
      <c r="E810" s="1" t="n">
        <v>43417</v>
      </c>
      <c r="F810" s="25" t="n">
        <v>3176.89</v>
      </c>
      <c r="G810" s="28" t="n">
        <v>172.0099999999998</v>
      </c>
      <c r="H810" s="10" t="n">
        <v>0.057243550491201</v>
      </c>
      <c r="I810" s="75" t="n">
        <v>2850</v>
      </c>
    </row>
    <row r="811" spans="1:23">
      <c r="A811" s="1" t="n">
        <v>42688</v>
      </c>
      <c r="B811" s="25" t="n">
        <v>3100.12</v>
      </c>
      <c r="C811" s="1" t="n">
        <v>43053</v>
      </c>
      <c r="D811" s="25" t="n">
        <v>3004.88</v>
      </c>
      <c r="E811" s="1" t="n">
        <v>43418</v>
      </c>
      <c r="F811" s="25" t="n">
        <v>3197.2</v>
      </c>
      <c r="G811" s="28" t="n">
        <v>192.3199999999997</v>
      </c>
      <c r="H811" s="10" t="n">
        <v>0.06400255584249614</v>
      </c>
      <c r="I811" s="75" t="n">
        <v>2850</v>
      </c>
    </row>
    <row r="812" spans="1:23">
      <c r="A812" s="1" t="n">
        <v>42689</v>
      </c>
      <c r="B812" s="25" t="n">
        <v>3100.12</v>
      </c>
      <c r="C812" s="1" t="n">
        <v>43054</v>
      </c>
      <c r="D812" s="25" t="n">
        <v>3016.7</v>
      </c>
      <c r="E812" s="1" t="n">
        <v>43419</v>
      </c>
      <c r="F812" s="25" t="n">
        <v>3194.7</v>
      </c>
      <c r="G812" s="28" t="n">
        <v>178</v>
      </c>
      <c r="H812" s="10" t="n">
        <v>0.05900487287433287</v>
      </c>
      <c r="I812" s="75" t="n">
        <v>2850</v>
      </c>
    </row>
    <row r="813" spans="1:23">
      <c r="A813" s="1" t="n">
        <v>42690</v>
      </c>
      <c r="B813" s="25" t="n">
        <v>3124.91</v>
      </c>
      <c r="C813" s="1" t="n">
        <v>43055</v>
      </c>
      <c r="D813" s="25" t="n">
        <v>3023.88</v>
      </c>
      <c r="E813" s="1" t="n">
        <v>43420</v>
      </c>
      <c r="F813" s="25" t="n">
        <v>3198.29</v>
      </c>
      <c r="G813" s="28" t="n">
        <v>174.4099999999999</v>
      </c>
      <c r="H813" s="10" t="n">
        <v>0.0576775533420637</v>
      </c>
      <c r="I813" s="75" t="n">
        <v>2850</v>
      </c>
    </row>
    <row r="814" spans="1:23">
      <c r="A814" s="1" t="n">
        <v>42691</v>
      </c>
      <c r="B814" s="25" t="n">
        <v>3131.11</v>
      </c>
      <c r="C814" s="1" t="n">
        <v>43056</v>
      </c>
      <c r="D814" s="25" t="n">
        <v>3015.79</v>
      </c>
      <c r="E814" s="1" t="n">
        <v>43421</v>
      </c>
      <c r="F814" s="25" t="n">
        <v>3173.59</v>
      </c>
      <c r="G814" s="28" t="n">
        <v>157.8000000000002</v>
      </c>
      <c r="H814" s="10" t="n">
        <v>0.05232459819815038</v>
      </c>
      <c r="I814" s="75" t="n">
        <v>2850</v>
      </c>
    </row>
    <row r="815" spans="1:23">
      <c r="A815" s="1" t="n">
        <v>42692</v>
      </c>
      <c r="B815" s="25" t="n">
        <v>3135.65</v>
      </c>
      <c r="C815" s="1" t="n">
        <v>43057</v>
      </c>
      <c r="D815" s="25" t="n">
        <v>3003.19</v>
      </c>
      <c r="E815" s="1" t="n">
        <v>43422</v>
      </c>
      <c r="F815" s="25" t="n">
        <v>3173.59</v>
      </c>
      <c r="G815" s="28" t="n">
        <v>170.4000000000001</v>
      </c>
      <c r="H815" s="10" t="n">
        <v>0.056739666820947</v>
      </c>
      <c r="I815" s="75" t="n">
        <v>2850</v>
      </c>
    </row>
    <row r="816" spans="1:23">
      <c r="A816" s="1" t="n">
        <v>42693</v>
      </c>
      <c r="B816" s="25" t="n">
        <v>3163.49</v>
      </c>
      <c r="C816" s="1" t="n">
        <v>43058</v>
      </c>
      <c r="D816" s="25" t="n">
        <v>3003.19</v>
      </c>
      <c r="E816" s="1" t="n">
        <v>43423</v>
      </c>
      <c r="F816" s="25" t="n">
        <v>3173.59</v>
      </c>
      <c r="G816" s="28" t="n">
        <v>170.4000000000001</v>
      </c>
      <c r="H816" s="10" t="n">
        <v>0.056739666820947</v>
      </c>
      <c r="I816" s="75" t="n">
        <v>2850</v>
      </c>
    </row>
    <row r="817" spans="1:23">
      <c r="A817" s="1" t="n">
        <v>42694</v>
      </c>
      <c r="B817" s="25" t="n">
        <v>3163.49</v>
      </c>
      <c r="C817" s="1" t="n">
        <v>43059</v>
      </c>
      <c r="D817" s="25" t="n">
        <v>3003.19</v>
      </c>
      <c r="E817" s="1" t="n">
        <v>43424</v>
      </c>
      <c r="F817" s="25" t="n">
        <v>3178.81</v>
      </c>
      <c r="G817" s="28" t="n">
        <v>175.6199999999999</v>
      </c>
      <c r="H817" s="10" t="n">
        <v>0.05847781858623669</v>
      </c>
      <c r="I817" s="75" t="n">
        <v>2850</v>
      </c>
    </row>
    <row r="818" spans="1:23">
      <c r="A818" s="1" t="n">
        <v>42695</v>
      </c>
      <c r="B818" s="25" t="n">
        <v>3163.49</v>
      </c>
      <c r="C818" s="1" t="n">
        <v>43060</v>
      </c>
      <c r="D818" s="25" t="n">
        <v>3011.32</v>
      </c>
      <c r="E818" s="1" t="n">
        <v>43425</v>
      </c>
      <c r="F818" s="25" t="n">
        <v>3189.51</v>
      </c>
      <c r="G818" s="28" t="n">
        <v>178.1900000000001</v>
      </c>
      <c r="H818" s="10" t="n">
        <v>0.05917338575774078</v>
      </c>
      <c r="I818" s="75" t="n">
        <v>2850</v>
      </c>
    </row>
    <row r="819" spans="1:23">
      <c r="A819" s="1" t="n">
        <v>42696</v>
      </c>
      <c r="B819" s="25" t="n">
        <v>3144.72</v>
      </c>
      <c r="C819" s="1" t="n">
        <v>43061</v>
      </c>
      <c r="D819" s="25" t="n">
        <v>3001.07</v>
      </c>
      <c r="E819" s="1" t="n">
        <v>43426</v>
      </c>
      <c r="F819" s="25" t="n">
        <v>3196.26</v>
      </c>
      <c r="G819" s="28" t="n">
        <v>195.1900000000001</v>
      </c>
      <c r="H819" s="10" t="n">
        <v>0.06504013568493905</v>
      </c>
      <c r="I819" s="75" t="n">
        <v>2850</v>
      </c>
    </row>
    <row r="820" spans="1:23">
      <c r="A820" s="1" t="n">
        <v>42697</v>
      </c>
      <c r="B820" s="25" t="n">
        <v>3139.76</v>
      </c>
      <c r="C820" s="1" t="n">
        <v>43062</v>
      </c>
      <c r="D820" s="25" t="n">
        <v>2982.73</v>
      </c>
      <c r="E820" s="1" t="n">
        <v>43427</v>
      </c>
      <c r="F820" s="25" t="n">
        <v>3196.26</v>
      </c>
      <c r="G820" s="28" t="n">
        <v>213.5300000000002</v>
      </c>
      <c r="H820" s="10" t="n">
        <v>0.0715887794067851</v>
      </c>
      <c r="I820" s="75" t="n">
        <v>2850</v>
      </c>
    </row>
    <row r="821" spans="1:23">
      <c r="A821" s="1" t="n">
        <v>42698</v>
      </c>
      <c r="B821" s="25" t="n">
        <v>3187.97</v>
      </c>
      <c r="C821" s="1" t="n">
        <v>43063</v>
      </c>
      <c r="D821" s="25" t="n">
        <v>2982.73</v>
      </c>
      <c r="E821" s="1" t="n">
        <v>43428</v>
      </c>
      <c r="F821" s="25" t="n">
        <v>3223.95</v>
      </c>
      <c r="G821" s="28" t="n">
        <v>241.2199999999998</v>
      </c>
      <c r="H821" s="10" t="n">
        <v>0.08087222108605197</v>
      </c>
      <c r="I821" s="75" t="n">
        <v>2850</v>
      </c>
    </row>
    <row r="822" spans="1:23">
      <c r="A822" s="1" t="n">
        <v>42699</v>
      </c>
      <c r="B822" s="25" t="n">
        <v>3187.97</v>
      </c>
      <c r="C822" s="1" t="n">
        <v>43064</v>
      </c>
      <c r="D822" s="25" t="n">
        <v>2976.39</v>
      </c>
      <c r="E822" s="1" t="n">
        <v>43429</v>
      </c>
      <c r="F822" s="25" t="n">
        <v>3223.95</v>
      </c>
      <c r="G822" s="28" t="n">
        <v>247.5599999999999</v>
      </c>
      <c r="H822" s="10" t="n">
        <v>0.08317458397589017</v>
      </c>
      <c r="I822" s="75" t="n">
        <v>2850</v>
      </c>
    </row>
    <row r="823" spans="1:23">
      <c r="A823" s="1" t="n">
        <v>42700</v>
      </c>
      <c r="B823" s="25" t="n">
        <v>3170.64</v>
      </c>
      <c r="C823" s="1" t="n">
        <v>43065</v>
      </c>
      <c r="D823" s="25" t="n">
        <v>2976.39</v>
      </c>
      <c r="E823" s="1" t="n">
        <v>43430</v>
      </c>
      <c r="F823" s="25" t="n">
        <v>3223.95</v>
      </c>
      <c r="G823" s="28" t="n">
        <v>247.5599999999999</v>
      </c>
      <c r="H823" s="10" t="n">
        <v>0.08317458397589017</v>
      </c>
      <c r="I823" s="75" t="n">
        <v>2850</v>
      </c>
    </row>
    <row r="824" spans="1:23">
      <c r="A824" s="1" t="n">
        <v>42701</v>
      </c>
      <c r="B824" s="25" t="n">
        <v>3170.64</v>
      </c>
      <c r="C824" s="1" t="n">
        <v>43066</v>
      </c>
      <c r="D824" s="25" t="n">
        <v>2976.39</v>
      </c>
      <c r="E824" s="1" t="n">
        <v>43431</v>
      </c>
      <c r="F824" s="25" t="n">
        <v>3240.65</v>
      </c>
      <c r="G824" s="28" t="n">
        <v>264.2600000000002</v>
      </c>
      <c r="H824" s="10" t="n">
        <v>0.08878540782625932</v>
      </c>
      <c r="I824" s="75" t="n">
        <v>2850</v>
      </c>
    </row>
    <row r="825" spans="1:23">
      <c r="A825" s="1" t="n">
        <v>42702</v>
      </c>
      <c r="B825" s="25" t="n">
        <v>3170.64</v>
      </c>
      <c r="C825" s="1" t="n">
        <v>43067</v>
      </c>
      <c r="D825" s="25" t="n">
        <v>2986.84</v>
      </c>
      <c r="E825" s="1" t="n">
        <v>43432</v>
      </c>
      <c r="F825" s="25" t="n">
        <v>3250.56</v>
      </c>
      <c r="G825" s="28" t="n">
        <v>263.7199999999998</v>
      </c>
      <c r="H825" s="10" t="n">
        <v>0.08829398293849011</v>
      </c>
      <c r="I825" s="75" t="n">
        <v>2850</v>
      </c>
    </row>
    <row r="826" spans="1:23">
      <c r="A826" s="1" t="n">
        <v>42703</v>
      </c>
      <c r="B826" s="25" t="n">
        <v>3142.2</v>
      </c>
      <c r="C826" s="1" t="n">
        <v>43068</v>
      </c>
      <c r="D826" s="25" t="n">
        <v>3003.94</v>
      </c>
      <c r="E826" s="1" t="n">
        <v>43433</v>
      </c>
      <c r="F826" s="25" t="n">
        <v>3274.47</v>
      </c>
      <c r="G826" s="28" t="n">
        <v>270.5299999999997</v>
      </c>
      <c r="H826" s="10" t="n">
        <v>0.090058389981158</v>
      </c>
      <c r="I826" s="75" t="n">
        <v>2850</v>
      </c>
    </row>
    <row r="827" spans="1:23">
      <c r="A827" s="1" t="n">
        <v>42704</v>
      </c>
      <c r="B827" s="25" t="n">
        <v>3165.09</v>
      </c>
      <c r="C827" s="1" t="n">
        <v>43069</v>
      </c>
      <c r="D827" s="25" t="n">
        <v>3006.09</v>
      </c>
      <c r="E827" s="1" t="n">
        <v>43434</v>
      </c>
      <c r="F827" s="25" t="n">
        <v>3240.02</v>
      </c>
      <c r="G827" s="28" t="n">
        <v>233.9299999999998</v>
      </c>
      <c r="H827" s="10" t="n">
        <v>0.07781869471639236</v>
      </c>
      <c r="I827" s="75" t="n">
        <v>2850</v>
      </c>
    </row>
    <row r="828" spans="1:23">
      <c r="A828" s="1" t="n">
        <v>42705</v>
      </c>
      <c r="B828" s="25" t="n">
        <v>3085.6</v>
      </c>
      <c r="C828" s="1" t="n">
        <v>43070</v>
      </c>
      <c r="D828" s="25" t="n">
        <v>3006.04</v>
      </c>
      <c r="E828" s="1" t="n">
        <v>43435</v>
      </c>
      <c r="F828" s="25" t="n">
        <v>3235.27</v>
      </c>
      <c r="G828" s="28" t="n">
        <v>229.23</v>
      </c>
      <c r="H828" s="10" t="n">
        <v>0.07625647030644966</v>
      </c>
      <c r="I828" s="75" t="n">
        <v>2850</v>
      </c>
    </row>
    <row r="829" spans="1:23">
      <c r="A829" s="1" t="n">
        <v>42706</v>
      </c>
      <c r="B829" s="25" t="n">
        <v>3068.34</v>
      </c>
      <c r="C829" s="1" t="n">
        <v>43071</v>
      </c>
      <c r="D829" s="25" t="n">
        <v>3005.76</v>
      </c>
      <c r="E829" s="1" t="n">
        <v>43436</v>
      </c>
      <c r="F829" s="25" t="n">
        <v>3235.27</v>
      </c>
      <c r="G829" s="28" t="n">
        <v>229.5099999999998</v>
      </c>
      <c r="H829" s="10" t="n">
        <v>0.07635672841477681</v>
      </c>
      <c r="I829" s="75" t="n">
        <v>2850</v>
      </c>
    </row>
    <row r="830" spans="1:23">
      <c r="A830" s="1" t="n">
        <v>42707</v>
      </c>
      <c r="B830" s="25" t="n">
        <v>3061.04</v>
      </c>
      <c r="C830" s="1" t="n">
        <v>43072</v>
      </c>
      <c r="D830" s="25" t="n">
        <v>3005.76</v>
      </c>
      <c r="E830" s="1" t="n">
        <v>43437</v>
      </c>
      <c r="F830" s="25" t="n">
        <v>3235.27</v>
      </c>
      <c r="G830" s="28" t="n">
        <v>229.5099999999998</v>
      </c>
      <c r="H830" s="10" t="n">
        <v>0.07635672841477681</v>
      </c>
      <c r="I830" s="75" t="n">
        <v>2850</v>
      </c>
    </row>
    <row r="831" spans="1:23">
      <c r="A831" s="1" t="n">
        <v>42708</v>
      </c>
      <c r="B831" s="25" t="n">
        <v>3061.04</v>
      </c>
      <c r="C831" s="1" t="n">
        <v>43073</v>
      </c>
      <c r="D831" s="25" t="n">
        <v>3005.76</v>
      </c>
      <c r="E831" s="1" t="n">
        <v>43438</v>
      </c>
      <c r="F831" s="25" t="n">
        <v>3196.15</v>
      </c>
      <c r="G831" s="28" t="n">
        <v>190.3899999999999</v>
      </c>
      <c r="H831" s="10" t="n">
        <v>0.0633417172362396</v>
      </c>
      <c r="I831" s="75" t="n">
        <v>2850</v>
      </c>
    </row>
    <row r="832" spans="1:23">
      <c r="A832" s="1" t="n">
        <v>42709</v>
      </c>
      <c r="B832" s="25" t="n">
        <v>3061.04</v>
      </c>
      <c r="C832" s="1" t="n">
        <v>43074</v>
      </c>
      <c r="D832" s="25" t="n">
        <v>2993.49</v>
      </c>
      <c r="E832" s="1" t="n">
        <v>43439</v>
      </c>
      <c r="F832" s="25" t="n">
        <v>3174.11</v>
      </c>
      <c r="G832" s="28" t="n">
        <v>180.6200000000003</v>
      </c>
      <c r="H832" s="10" t="n">
        <v>0.06033759925705451</v>
      </c>
      <c r="I832" s="75" t="n">
        <v>2850</v>
      </c>
    </row>
    <row r="833" spans="1:23">
      <c r="A833" s="1" t="n">
        <v>42710</v>
      </c>
      <c r="B833" s="25" t="n">
        <v>3049.47</v>
      </c>
      <c r="C833" s="1" t="n">
        <v>43075</v>
      </c>
      <c r="D833" s="25" t="n">
        <v>2996.53</v>
      </c>
      <c r="E833" s="1" t="n">
        <v>43440</v>
      </c>
      <c r="F833" s="25" t="n">
        <v>3162.29</v>
      </c>
      <c r="G833" s="28" t="n">
        <v>165.7599999999998</v>
      </c>
      <c r="H833" s="10" t="n">
        <v>0.0553173170300314</v>
      </c>
      <c r="I833" s="75" t="n">
        <v>2850</v>
      </c>
    </row>
    <row r="834" spans="1:23">
      <c r="A834" s="1" t="n">
        <v>42711</v>
      </c>
      <c r="B834" s="25" t="n">
        <v>2989.71</v>
      </c>
      <c r="C834" s="1" t="n">
        <v>43076</v>
      </c>
      <c r="D834" s="25" t="n">
        <v>3007.07</v>
      </c>
      <c r="E834" s="1" t="n">
        <v>43441</v>
      </c>
      <c r="F834" s="25" t="n">
        <v>3187.86</v>
      </c>
      <c r="G834" s="28" t="n">
        <v>180.79</v>
      </c>
      <c r="H834" s="10" t="n">
        <v>0.06012164665272168</v>
      </c>
      <c r="I834" s="75" t="n">
        <v>2850</v>
      </c>
    </row>
    <row r="835" spans="1:23">
      <c r="A835" s="1" t="n">
        <v>42712</v>
      </c>
      <c r="B835" s="25" t="n">
        <v>2989.71</v>
      </c>
      <c r="C835" s="1" t="n">
        <v>43077</v>
      </c>
      <c r="D835" s="25" t="n">
        <v>3016.18</v>
      </c>
      <c r="E835" s="1" t="n">
        <v>43442</v>
      </c>
      <c r="F835" s="25" t="n">
        <v>3153.29</v>
      </c>
      <c r="G835" s="28" t="n">
        <v>137.1100000000001</v>
      </c>
      <c r="H835" s="10" t="n">
        <v>0.04545816231126798</v>
      </c>
      <c r="I835" s="75" t="n">
        <v>2850</v>
      </c>
    </row>
    <row r="836" spans="1:23">
      <c r="A836" s="1" t="n">
        <v>42713</v>
      </c>
      <c r="B836" s="25" t="n">
        <v>2989.71</v>
      </c>
      <c r="C836" s="1" t="n">
        <v>43078</v>
      </c>
      <c r="D836" s="25" t="n">
        <v>3016.18</v>
      </c>
      <c r="E836" s="1" t="n">
        <v>43443</v>
      </c>
      <c r="F836" s="25" t="n">
        <v>3153.29</v>
      </c>
      <c r="G836" s="28" t="n">
        <v>137.1100000000001</v>
      </c>
      <c r="H836" s="10" t="n">
        <v>0.04545816231126798</v>
      </c>
      <c r="I836" s="75" t="n">
        <v>2850</v>
      </c>
    </row>
    <row r="837" spans="1:23">
      <c r="A837" s="1" t="n">
        <v>42714</v>
      </c>
      <c r="B837" s="25" t="n">
        <v>3002.8</v>
      </c>
      <c r="C837" s="1" t="n">
        <v>43079</v>
      </c>
      <c r="D837" s="25" t="n">
        <v>3016.18</v>
      </c>
      <c r="E837" s="1" t="n">
        <v>43444</v>
      </c>
      <c r="F837" s="25" t="n">
        <v>3153.29</v>
      </c>
      <c r="G837" s="28" t="n">
        <v>137.1100000000001</v>
      </c>
      <c r="H837" s="10" t="n">
        <v>0.04545816231126798</v>
      </c>
      <c r="I837" s="75" t="n">
        <v>2850</v>
      </c>
    </row>
    <row r="838" spans="1:23">
      <c r="A838" s="1" t="n">
        <v>42715</v>
      </c>
      <c r="B838" s="25" t="n">
        <v>3002.8</v>
      </c>
      <c r="C838" s="1" t="n">
        <v>43080</v>
      </c>
      <c r="D838" s="25" t="n">
        <v>3016.18</v>
      </c>
      <c r="E838" s="1" t="n">
        <v>43445</v>
      </c>
      <c r="F838" s="25" t="n">
        <v>3176.12</v>
      </c>
      <c r="G838" s="28" t="n">
        <v>159.9400000000001</v>
      </c>
      <c r="H838" s="10" t="n">
        <v>0.05302733921715541</v>
      </c>
      <c r="I838" s="75" t="n">
        <v>2850</v>
      </c>
    </row>
    <row r="839" spans="1:23">
      <c r="A839" s="1" t="n">
        <v>42716</v>
      </c>
      <c r="B839" s="25" t="n">
        <v>3002.8</v>
      </c>
      <c r="C839" s="1" t="n">
        <v>43081</v>
      </c>
      <c r="D839" s="25" t="n">
        <v>3013.99</v>
      </c>
      <c r="E839" s="1" t="n">
        <v>43446</v>
      </c>
      <c r="F839" s="25" t="n">
        <v>3184.7</v>
      </c>
      <c r="G839" s="28" t="n">
        <v>170.71</v>
      </c>
      <c r="H839" s="10" t="n">
        <v>0.05663920583678106</v>
      </c>
      <c r="I839" s="75" t="n">
        <v>2850</v>
      </c>
    </row>
    <row r="840" spans="1:23">
      <c r="A840" s="1" t="n">
        <v>42717</v>
      </c>
      <c r="B840" s="25" t="n">
        <v>2984.02</v>
      </c>
      <c r="C840" s="1" t="n">
        <v>43082</v>
      </c>
      <c r="D840" s="25" t="n">
        <v>3029.75</v>
      </c>
      <c r="E840" s="1" t="n">
        <v>43447</v>
      </c>
      <c r="F840" s="25" t="n">
        <v>3169.36</v>
      </c>
      <c r="G840" s="28" t="n">
        <v>139.6100000000001</v>
      </c>
      <c r="H840" s="10" t="n">
        <v>0.04607970954699248</v>
      </c>
      <c r="I840" s="75" t="n">
        <v>2850</v>
      </c>
    </row>
    <row r="841" spans="1:23">
      <c r="A841" s="1" t="n">
        <v>42718</v>
      </c>
      <c r="B841" s="25" t="n">
        <v>2982.29</v>
      </c>
      <c r="C841" s="1" t="n">
        <v>43083</v>
      </c>
      <c r="D841" s="25" t="n">
        <v>3015.41</v>
      </c>
      <c r="E841" s="1" t="n">
        <v>43448</v>
      </c>
      <c r="F841" s="25" t="n">
        <v>3178.4</v>
      </c>
      <c r="G841" s="28" t="n">
        <v>162.9900000000002</v>
      </c>
      <c r="H841" s="10" t="n">
        <v>0.05405235108990158</v>
      </c>
      <c r="I841" s="75" t="n">
        <v>2850</v>
      </c>
    </row>
    <row r="842" spans="1:23">
      <c r="A842" s="1" t="n">
        <v>42719</v>
      </c>
      <c r="B842" s="25" t="n">
        <v>2964.56</v>
      </c>
      <c r="C842" s="1" t="n">
        <v>43084</v>
      </c>
      <c r="D842" s="25" t="n">
        <v>2999.07</v>
      </c>
      <c r="E842" s="1" t="n">
        <v>43449</v>
      </c>
      <c r="F842" s="25" t="n">
        <v>3196.3</v>
      </c>
      <c r="G842" s="28" t="n">
        <v>197.23</v>
      </c>
      <c r="H842" s="10" t="n">
        <v>0.06576372008656017</v>
      </c>
      <c r="I842" s="75" t="n">
        <v>2850</v>
      </c>
    </row>
    <row r="843" spans="1:23">
      <c r="A843" s="1" t="n">
        <v>42720</v>
      </c>
      <c r="B843" s="25" t="n">
        <v>3000.47</v>
      </c>
      <c r="C843" s="1" t="n">
        <v>43085</v>
      </c>
      <c r="D843" s="25" t="n">
        <v>2996.61</v>
      </c>
      <c r="E843" s="1" t="n">
        <v>43450</v>
      </c>
      <c r="F843" s="25" t="n">
        <v>3196.3</v>
      </c>
      <c r="G843" s="28" t="n">
        <v>199.6900000000001</v>
      </c>
      <c r="H843" s="10" t="n">
        <v>0.06663863499087297</v>
      </c>
      <c r="I843" s="75" t="n">
        <v>2850</v>
      </c>
    </row>
    <row r="844" spans="1:23">
      <c r="A844" s="1" t="n">
        <v>42721</v>
      </c>
      <c r="B844" s="25" t="n">
        <v>2997.2</v>
      </c>
      <c r="C844" s="1" t="n">
        <v>43086</v>
      </c>
      <c r="D844" s="25" t="n">
        <v>2996.61</v>
      </c>
      <c r="E844" s="1" t="n">
        <v>43451</v>
      </c>
      <c r="F844" s="25" t="n">
        <v>3196.3</v>
      </c>
      <c r="G844" s="28" t="n">
        <v>199.6900000000001</v>
      </c>
      <c r="H844" s="10" t="n">
        <v>0.06663863499087297</v>
      </c>
      <c r="I844" s="75" t="n">
        <v>2850</v>
      </c>
    </row>
    <row r="845" spans="1:23">
      <c r="A845" s="1" t="n">
        <v>42722</v>
      </c>
      <c r="B845" s="25" t="n">
        <v>2997.2</v>
      </c>
      <c r="C845" s="1" t="n">
        <v>43087</v>
      </c>
      <c r="D845" s="25" t="n">
        <v>2996.61</v>
      </c>
      <c r="E845" s="1" t="n">
        <v>43452</v>
      </c>
      <c r="F845" s="25" t="n">
        <v>3188.66</v>
      </c>
      <c r="G845" s="28" t="n">
        <v>192.0499999999997</v>
      </c>
      <c r="H845" s="10" t="n">
        <v>0.06408908733535545</v>
      </c>
      <c r="I845" s="75" t="n">
        <v>2850</v>
      </c>
    </row>
    <row r="846" spans="1:23">
      <c r="A846" s="1" t="n">
        <v>42723</v>
      </c>
      <c r="B846" s="25" t="n">
        <v>2997.2</v>
      </c>
      <c r="C846" s="1" t="n">
        <v>43088</v>
      </c>
      <c r="D846" s="25" t="n">
        <v>2975.59</v>
      </c>
      <c r="E846" s="1" t="n">
        <v>43453</v>
      </c>
      <c r="F846" s="25" t="n">
        <v>3198.45</v>
      </c>
      <c r="G846" s="28" t="n">
        <v>222.8599999999997</v>
      </c>
      <c r="H846" s="10" t="n">
        <v>0.07489607103129114</v>
      </c>
      <c r="I846" s="75" t="n">
        <v>2850</v>
      </c>
    </row>
    <row r="847" spans="1:23">
      <c r="A847" s="1" t="n">
        <v>42724</v>
      </c>
      <c r="B847" s="25" t="n">
        <v>3019.44</v>
      </c>
      <c r="C847" s="1" t="n">
        <v>43089</v>
      </c>
      <c r="D847" s="25" t="n">
        <v>2972.05</v>
      </c>
      <c r="E847" s="1" t="n">
        <v>43454</v>
      </c>
      <c r="F847" s="25" t="n">
        <v>3216.55</v>
      </c>
      <c r="G847" s="28" t="n">
        <v>244.5</v>
      </c>
      <c r="H847" s="10" t="n">
        <v>0.08226644908396552</v>
      </c>
      <c r="I847" s="75" t="n">
        <v>2850</v>
      </c>
    </row>
    <row r="848" spans="1:23">
      <c r="A848" s="1" t="n">
        <v>42725</v>
      </c>
      <c r="B848" s="25" t="n">
        <v>2988.06</v>
      </c>
      <c r="C848" s="1" t="n">
        <v>43090</v>
      </c>
      <c r="D848" s="25" t="n">
        <v>2965.77</v>
      </c>
      <c r="E848" s="1" t="n">
        <v>43455</v>
      </c>
      <c r="F848" s="25" t="n">
        <v>3246.86</v>
      </c>
      <c r="G848" s="28" t="n">
        <v>281.0900000000001</v>
      </c>
      <c r="H848" s="10" t="n">
        <v>0.0947780846120907</v>
      </c>
      <c r="I848" s="75" t="n">
        <v>2850</v>
      </c>
    </row>
    <row r="849" spans="1:23">
      <c r="A849" s="1" t="n">
        <v>42726</v>
      </c>
      <c r="B849" s="25" t="n">
        <v>2989.14</v>
      </c>
      <c r="C849" s="1" t="n">
        <v>43091</v>
      </c>
      <c r="D849" s="25" t="n">
        <v>2963.58</v>
      </c>
      <c r="E849" s="1" t="n">
        <v>43456</v>
      </c>
      <c r="F849" s="25" t="n">
        <v>3285.34</v>
      </c>
      <c r="G849" s="28" t="n">
        <v>321.7600000000002</v>
      </c>
      <c r="H849" s="10" t="n">
        <v>0.108571390008031</v>
      </c>
      <c r="I849" s="75" t="n">
        <v>2850</v>
      </c>
    </row>
    <row r="850" spans="1:23">
      <c r="A850" s="1" t="n">
        <v>42727</v>
      </c>
      <c r="B850" s="25" t="n">
        <v>2996.03</v>
      </c>
      <c r="C850" s="1" t="n">
        <v>43092</v>
      </c>
      <c r="D850" s="25" t="n">
        <v>2962.14</v>
      </c>
      <c r="E850" s="1" t="n">
        <v>43457</v>
      </c>
      <c r="F850" s="25" t="n">
        <v>3285.34</v>
      </c>
      <c r="G850" s="28" t="n">
        <v>323.2000000000003</v>
      </c>
      <c r="H850" s="10" t="n">
        <v>0.1091103053873215</v>
      </c>
      <c r="I850" s="75" t="n">
        <v>2850</v>
      </c>
    </row>
    <row r="851" spans="1:23">
      <c r="A851" s="1" t="n">
        <v>42728</v>
      </c>
      <c r="B851" s="25" t="n">
        <v>2996.6</v>
      </c>
      <c r="C851" s="1" t="n">
        <v>43093</v>
      </c>
      <c r="D851" s="25" t="n">
        <v>2962.14</v>
      </c>
      <c r="E851" s="1" t="n">
        <v>43458</v>
      </c>
      <c r="F851" s="25" t="n">
        <v>3285.34</v>
      </c>
      <c r="G851" s="28" t="n">
        <v>323.2000000000003</v>
      </c>
      <c r="H851" s="10" t="n">
        <v>0.1091103053873215</v>
      </c>
      <c r="I851" s="75" t="n">
        <v>2850</v>
      </c>
    </row>
    <row r="852" spans="1:23">
      <c r="A852" s="1" t="n">
        <v>42729</v>
      </c>
      <c r="B852" s="25" t="n">
        <v>2996.6</v>
      </c>
      <c r="C852" s="1" t="n">
        <v>43094</v>
      </c>
      <c r="D852" s="25" t="n">
        <v>2962.14</v>
      </c>
      <c r="E852" s="1" t="n">
        <v>43459</v>
      </c>
      <c r="F852" s="25" t="n">
        <v>3285.51</v>
      </c>
      <c r="G852" s="28" t="n">
        <v>323.3700000000003</v>
      </c>
      <c r="H852" s="10" t="n">
        <v>0.1091676963276551</v>
      </c>
      <c r="I852" s="75" t="n">
        <v>2850</v>
      </c>
    </row>
    <row r="853" spans="1:23">
      <c r="A853" s="1" t="n">
        <v>42730</v>
      </c>
      <c r="B853" s="25" t="n">
        <v>2996.6</v>
      </c>
      <c r="C853" s="1" t="n">
        <v>43095</v>
      </c>
      <c r="D853" s="25" t="n">
        <v>2962.14</v>
      </c>
      <c r="E853" s="1" t="n">
        <v>43460</v>
      </c>
      <c r="F853" s="25" t="n">
        <v>3285.51</v>
      </c>
      <c r="G853" s="28" t="n">
        <v>323.3700000000003</v>
      </c>
      <c r="H853" s="10" t="n">
        <v>0.1091676963276551</v>
      </c>
      <c r="I853" s="75" t="n">
        <v>2850</v>
      </c>
    </row>
    <row r="854" spans="1:23">
      <c r="A854" s="1" t="n">
        <v>42731</v>
      </c>
      <c r="B854" s="25" t="n">
        <v>2996.6</v>
      </c>
      <c r="C854" s="1" t="n">
        <v>43096</v>
      </c>
      <c r="D854" s="25" t="n">
        <v>2962.26</v>
      </c>
      <c r="E854" s="1" t="n">
        <v>43461</v>
      </c>
      <c r="F854" s="25" t="n">
        <v>3289.69</v>
      </c>
      <c r="G854" s="28" t="n">
        <v>327.4299999999998</v>
      </c>
      <c r="H854" s="10" t="n">
        <v>0.1105338491557122</v>
      </c>
      <c r="I854" s="75" t="n">
        <v>2850</v>
      </c>
    </row>
    <row r="855" spans="1:23">
      <c r="A855" s="1" t="n">
        <v>42732</v>
      </c>
      <c r="B855" s="25" t="n">
        <v>2992.81</v>
      </c>
      <c r="C855" s="1" t="n">
        <v>43097</v>
      </c>
      <c r="D855" s="25" t="n">
        <v>2971.63</v>
      </c>
      <c r="E855" s="1" t="n">
        <v>43462</v>
      </c>
      <c r="F855" s="25" t="n">
        <v>3275.01</v>
      </c>
      <c r="G855" s="28" t="n">
        <v>303.3800000000001</v>
      </c>
      <c r="H855" s="10" t="n">
        <v>0.102092117793938</v>
      </c>
      <c r="I855" s="75" t="n">
        <v>2850</v>
      </c>
    </row>
    <row r="856" spans="1:23">
      <c r="A856" s="1" t="n">
        <v>42733</v>
      </c>
      <c r="B856" s="25" t="n">
        <v>3019.72</v>
      </c>
      <c r="C856" s="1" t="n">
        <v>43098</v>
      </c>
      <c r="D856" s="25" t="n">
        <v>2984</v>
      </c>
      <c r="E856" s="1" t="n">
        <v>43463</v>
      </c>
      <c r="F856" s="25" t="n">
        <v>3249.75</v>
      </c>
      <c r="G856" s="28" t="n">
        <v>265.75</v>
      </c>
      <c r="H856" s="10" t="n">
        <v>0.08905831099195716</v>
      </c>
      <c r="I856" s="75" t="n">
        <v>2850</v>
      </c>
    </row>
    <row r="857" spans="1:23">
      <c r="A857" s="1" t="n">
        <v>42734</v>
      </c>
      <c r="B857" s="25" t="n">
        <v>3000.71</v>
      </c>
      <c r="C857" s="1" t="n">
        <v>43099</v>
      </c>
      <c r="D857" s="25" t="n">
        <v>2984</v>
      </c>
      <c r="E857" s="1" t="n">
        <v>43464</v>
      </c>
      <c r="F857" s="25" t="n">
        <v>3249.75</v>
      </c>
      <c r="G857" s="28" t="n">
        <v>265.75</v>
      </c>
      <c r="H857" s="10" t="n">
        <v>0.08905831099195716</v>
      </c>
      <c r="I857" s="75" t="n">
        <v>2850</v>
      </c>
    </row>
    <row r="858" spans="1:23">
      <c r="A858" s="1" t="n">
        <v>42735</v>
      </c>
      <c r="B858" s="25" t="n">
        <v>3000.71</v>
      </c>
      <c r="C858" s="1" t="n">
        <v>43100</v>
      </c>
      <c r="D858" s="25" t="n">
        <v>2984</v>
      </c>
      <c r="E858" s="1" t="n">
        <v>43465</v>
      </c>
      <c r="F858" s="25" t="n">
        <v>3249.75</v>
      </c>
      <c r="G858" s="28" t="n">
        <v>265.75</v>
      </c>
      <c r="H858" s="10" t="n">
        <v>0.08905831099195716</v>
      </c>
      <c r="I858" s="75" t="n">
        <v>2850</v>
      </c>
    </row>
    <row r="859" spans="1:23">
      <c r="A859" s="1" t="n">
        <v>42736</v>
      </c>
      <c r="B859" s="25" t="n">
        <v>3000.71</v>
      </c>
      <c r="C859" s="1" t="n">
        <v>43101</v>
      </c>
      <c r="D859" s="25" t="n">
        <v>2984</v>
      </c>
      <c r="E859" s="1" t="n">
        <v>43466</v>
      </c>
      <c r="F859" s="25" t="n">
        <v>3249.75</v>
      </c>
      <c r="G859" s="28" t="n">
        <v>265.75</v>
      </c>
      <c r="H859" s="10" t="n">
        <v>0.08905831099195716</v>
      </c>
      <c r="I859" s="75" t="n">
        <v>2850</v>
      </c>
    </row>
    <row r="860" spans="1:23">
      <c r="A860" s="1" t="n">
        <v>42737</v>
      </c>
      <c r="B860" s="25" t="n">
        <v>3000.71</v>
      </c>
      <c r="C860" s="1" t="n">
        <v>43102</v>
      </c>
      <c r="D860" s="25" t="n">
        <v>2984</v>
      </c>
      <c r="E860" s="1" t="n">
        <v>43467</v>
      </c>
      <c r="F860" s="25" t="n">
        <v>3249.75</v>
      </c>
      <c r="G860" s="28" t="n">
        <v>265.75</v>
      </c>
      <c r="H860" s="10" t="n">
        <v>0.08905831099195716</v>
      </c>
      <c r="I860" s="75" t="n">
        <v>2850</v>
      </c>
    </row>
    <row r="861" spans="1:23">
      <c r="A861" s="1" t="n">
        <v>42738</v>
      </c>
      <c r="B861" s="25" t="n">
        <v>3000.71</v>
      </c>
      <c r="C861" s="1" t="n">
        <v>43103</v>
      </c>
      <c r="D861" s="25" t="n">
        <v>2940.94</v>
      </c>
      <c r="E861" s="1" t="n">
        <v>43468</v>
      </c>
      <c r="F861" s="25" t="n">
        <v>3250.01</v>
      </c>
      <c r="G861" s="28" t="n">
        <v>309.0700000000002</v>
      </c>
      <c r="H861" s="10" t="n">
        <v>0.1050922494168531</v>
      </c>
      <c r="I861" s="75" t="n">
        <v>2850</v>
      </c>
    </row>
    <row r="862" spans="1:23">
      <c r="A862" s="1" t="n">
        <v>42739</v>
      </c>
      <c r="B862" s="25" t="n">
        <v>2981.06</v>
      </c>
      <c r="C862" s="1" t="n">
        <v>43104</v>
      </c>
      <c r="D862" s="25" t="n">
        <v>2908.68</v>
      </c>
      <c r="E862" s="1" t="n">
        <v>43469</v>
      </c>
      <c r="F862" s="25" t="n">
        <v>3241.2</v>
      </c>
      <c r="G862" s="28" t="n">
        <v>332.52</v>
      </c>
      <c r="H862" s="10" t="n">
        <v>0.1143198976855482</v>
      </c>
      <c r="I862" s="75" t="n">
        <v>2850</v>
      </c>
    </row>
    <row r="863" spans="1:23">
      <c r="A863" s="1" t="n">
        <v>42740</v>
      </c>
      <c r="B863" s="25" t="n">
        <v>2965.36</v>
      </c>
      <c r="C863" s="1" t="n">
        <v>43105</v>
      </c>
      <c r="D863" s="25" t="n">
        <v>2885.76</v>
      </c>
      <c r="E863" s="1" t="n">
        <v>43470</v>
      </c>
      <c r="F863" s="25" t="n">
        <v>3208.56</v>
      </c>
      <c r="G863" s="28" t="n">
        <v>322.7999999999997</v>
      </c>
      <c r="H863" s="10" t="n">
        <v>0.1118596141051229</v>
      </c>
      <c r="I863" s="75" t="n">
        <v>2850</v>
      </c>
    </row>
    <row r="864" spans="1:23">
      <c r="A864" s="1" t="n">
        <v>42741</v>
      </c>
      <c r="B864" s="25" t="n">
        <v>2941.08</v>
      </c>
      <c r="C864" s="1" t="n">
        <v>43106</v>
      </c>
      <c r="D864" s="25" t="n">
        <v>2898.32</v>
      </c>
      <c r="E864" s="1" t="n">
        <v>43471</v>
      </c>
      <c r="F864" s="25" t="n">
        <v>3208.56</v>
      </c>
      <c r="G864" s="28" t="n">
        <v>310.2399999999998</v>
      </c>
      <c r="H864" s="10" t="n">
        <v>0.1070413204891107</v>
      </c>
      <c r="I864" s="75" t="n">
        <v>2850</v>
      </c>
    </row>
    <row r="865" spans="1:23">
      <c r="A865" s="1" t="n">
        <v>42742</v>
      </c>
      <c r="B865" s="25" t="n">
        <v>2919.01</v>
      </c>
      <c r="C865" s="1" t="n">
        <v>43107</v>
      </c>
      <c r="D865" s="25" t="n">
        <v>2898.32</v>
      </c>
      <c r="E865" s="1" t="n">
        <v>43472</v>
      </c>
      <c r="F865" s="25" t="n">
        <v>3208.56</v>
      </c>
      <c r="G865" s="28" t="n">
        <v>310.2399999999998</v>
      </c>
      <c r="H865" s="10" t="n">
        <v>0.1070413204891107</v>
      </c>
      <c r="I865" s="75" t="n">
        <v>2850</v>
      </c>
    </row>
    <row r="866" spans="1:23">
      <c r="A866" s="1" t="n">
        <v>42743</v>
      </c>
      <c r="B866" s="25" t="n">
        <v>2919.01</v>
      </c>
      <c r="C866" s="1" t="n">
        <v>43108</v>
      </c>
      <c r="D866" s="25" t="n">
        <v>2898.32</v>
      </c>
      <c r="E866" s="1" t="n">
        <v>43473</v>
      </c>
      <c r="F866" s="25" t="n">
        <v>3164.75</v>
      </c>
      <c r="G866" s="28" t="n">
        <v>266.4299999999998</v>
      </c>
      <c r="H866" s="10" t="n">
        <v>0.09192566728311569</v>
      </c>
      <c r="I866" s="75" t="n">
        <v>2850</v>
      </c>
    </row>
    <row r="867" spans="1:23">
      <c r="A867" s="1" t="n">
        <v>42744</v>
      </c>
      <c r="B867" s="25" t="n">
        <v>2919.01</v>
      </c>
      <c r="C867" s="1" t="n">
        <v>43109</v>
      </c>
      <c r="D867" s="25" t="n">
        <v>2898.32</v>
      </c>
      <c r="E867" s="1" t="n">
        <v>43474</v>
      </c>
      <c r="F867" s="25" t="n">
        <v>3164.75</v>
      </c>
      <c r="G867" s="28" t="n">
        <v>266.4299999999998</v>
      </c>
      <c r="H867" s="10" t="n">
        <v>0.09192566728311569</v>
      </c>
      <c r="I867" s="75" t="n">
        <v>2850</v>
      </c>
    </row>
    <row r="868" spans="1:23">
      <c r="A868" s="1" t="n">
        <v>42745</v>
      </c>
      <c r="B868" s="25" t="n">
        <v>2919.01</v>
      </c>
      <c r="C868" s="1" t="n">
        <v>43110</v>
      </c>
      <c r="D868" s="25" t="n">
        <v>2914.37</v>
      </c>
      <c r="E868" s="1" t="n">
        <v>43475</v>
      </c>
      <c r="F868" s="25" t="n"/>
      <c r="G868" s="28">
        <f>IF(F868="","",(F868-D868))</f>
        <v/>
      </c>
      <c r="H868" s="10">
        <f>IF(F868="","",(F868/D868)-1)</f>
        <v/>
      </c>
      <c r="I868" s="75" t="n">
        <v>2850</v>
      </c>
    </row>
    <row r="869" spans="1:23">
      <c r="A869" s="1" t="n">
        <v>42746</v>
      </c>
      <c r="B869" s="25" t="n">
        <v>2949.6</v>
      </c>
      <c r="C869" s="1" t="n">
        <v>43111</v>
      </c>
      <c r="D869" s="25" t="n">
        <v>2895.69</v>
      </c>
      <c r="E869" s="1" t="n">
        <v>43476</v>
      </c>
      <c r="F869" s="25" t="n"/>
      <c r="G869" s="28">
        <f>IF(F869="","",(F869-D869))</f>
        <v/>
      </c>
      <c r="H869" s="10">
        <f>IF(F869="","",(F869/D869)-1)</f>
        <v/>
      </c>
      <c r="I869" s="75" t="n">
        <v>2850</v>
      </c>
    </row>
    <row r="870" spans="1:23">
      <c r="A870" s="1" t="n">
        <v>42747</v>
      </c>
      <c r="B870" s="25" t="n">
        <v>2980.8</v>
      </c>
      <c r="C870" s="1" t="n">
        <v>43112</v>
      </c>
      <c r="D870" s="25" t="n">
        <v>2865.79</v>
      </c>
      <c r="E870" s="1" t="n">
        <v>43477</v>
      </c>
      <c r="F870" s="25" t="n"/>
      <c r="G870" s="28">
        <f>IF(F870="","",(F870-D870))</f>
        <v/>
      </c>
      <c r="H870" s="10">
        <f>IF(F870="","",(F870/D870)-1)</f>
        <v/>
      </c>
      <c r="I870" s="75" t="n">
        <v>2850</v>
      </c>
    </row>
    <row r="871" spans="1:23">
      <c r="A871" s="1" t="n">
        <v>42748</v>
      </c>
      <c r="B871" s="25" t="n">
        <v>2930.19</v>
      </c>
      <c r="C871" s="1" t="n">
        <v>43113</v>
      </c>
      <c r="D871" s="25" t="n">
        <v>2855.86</v>
      </c>
      <c r="E871" s="1" t="n">
        <v>43478</v>
      </c>
      <c r="F871" s="25" t="n"/>
      <c r="G871" s="28">
        <f>IF(F871="","",(F871-D871))</f>
        <v/>
      </c>
      <c r="H871" s="10">
        <f>IF(F871="","",(F871/D871)-1)</f>
        <v/>
      </c>
      <c r="I871" s="75" t="n">
        <v>2850</v>
      </c>
    </row>
    <row r="872" spans="1:23">
      <c r="A872" s="1" t="n">
        <v>42749</v>
      </c>
      <c r="B872" s="25" t="n">
        <v>2935.96</v>
      </c>
      <c r="C872" s="1" t="n">
        <v>43114</v>
      </c>
      <c r="D872" s="25" t="n">
        <v>2855.86</v>
      </c>
      <c r="E872" s="1" t="n">
        <v>43479</v>
      </c>
      <c r="F872" s="25" t="n"/>
      <c r="G872" s="28">
        <f>IF(F872="","",(F872-D872))</f>
        <v/>
      </c>
      <c r="H872" s="10">
        <f>IF(F872="","",(F872/D872)-1)</f>
        <v/>
      </c>
      <c r="I872" s="75" t="n">
        <v>2850</v>
      </c>
    </row>
    <row r="873" spans="1:23">
      <c r="A873" s="1" t="n">
        <v>42750</v>
      </c>
      <c r="B873" s="25" t="n">
        <v>2935.96</v>
      </c>
      <c r="C873" s="1" t="n">
        <v>43115</v>
      </c>
      <c r="D873" s="25" t="n">
        <v>2855.86</v>
      </c>
      <c r="E873" s="1" t="n">
        <v>43480</v>
      </c>
      <c r="F873" s="25" t="n"/>
      <c r="G873" s="28">
        <f>IF(F873="","",(F873-D873))</f>
        <v/>
      </c>
      <c r="H873" s="10">
        <f>IF(F873="","",(F873/D873)-1)</f>
        <v/>
      </c>
      <c r="I873" s="75" t="n">
        <v>2850</v>
      </c>
    </row>
    <row r="874" spans="1:23">
      <c r="A874" s="1" t="n">
        <v>42751</v>
      </c>
      <c r="B874" s="25" t="n">
        <v>2935.96</v>
      </c>
      <c r="C874" s="1" t="n">
        <v>43116</v>
      </c>
      <c r="D874" s="25" t="n">
        <v>2855.86</v>
      </c>
      <c r="E874" s="1" t="n">
        <v>43481</v>
      </c>
      <c r="F874" s="25" t="n"/>
      <c r="G874" s="28">
        <f>IF(F874="","",(F874-D874))</f>
        <v/>
      </c>
      <c r="H874" s="10">
        <f>IF(F874="","",(F874/D874)-1)</f>
        <v/>
      </c>
      <c r="I874" s="75" t="n">
        <v>2850</v>
      </c>
    </row>
    <row r="875" spans="1:23">
      <c r="A875" s="1" t="n">
        <v>42752</v>
      </c>
      <c r="B875" s="25" t="n">
        <v>2935.96</v>
      </c>
      <c r="C875" s="1" t="n">
        <v>43117</v>
      </c>
      <c r="D875" s="25" t="n">
        <v>2868.03</v>
      </c>
      <c r="E875" s="1" t="n">
        <v>43482</v>
      </c>
      <c r="F875" s="25" t="n"/>
      <c r="G875" s="28">
        <f>IF(F875="","",(F875-D875))</f>
        <v/>
      </c>
      <c r="H875" s="10">
        <f>IF(F875="","",(F875/D875)-1)</f>
        <v/>
      </c>
      <c r="I875" s="75" t="n">
        <v>2850</v>
      </c>
    </row>
    <row r="876" spans="1:23">
      <c r="A876" s="1" t="n">
        <v>42753</v>
      </c>
      <c r="B876" s="25" t="n">
        <v>2924.77</v>
      </c>
      <c r="C876" s="1" t="n">
        <v>43118</v>
      </c>
      <c r="D876" s="25" t="n">
        <v>2851.13</v>
      </c>
      <c r="E876" s="1" t="n">
        <v>43483</v>
      </c>
      <c r="F876" s="25" t="n"/>
      <c r="G876" s="28">
        <f>IF(F876="","",(F876-D876))</f>
        <v/>
      </c>
      <c r="H876" s="10">
        <f>IF(F876="","",(F876/D876)-1)</f>
        <v/>
      </c>
      <c r="I876" s="75" t="n">
        <v>2850</v>
      </c>
    </row>
    <row r="877" spans="1:23">
      <c r="A877" s="1" t="n">
        <v>42754</v>
      </c>
      <c r="B877" s="25" t="n">
        <v>2934.58</v>
      </c>
      <c r="C877" s="1" t="n">
        <v>43119</v>
      </c>
      <c r="D877" s="25" t="n">
        <v>2836.85</v>
      </c>
      <c r="E877" s="1" t="n">
        <v>43484</v>
      </c>
      <c r="F877" s="25" t="n"/>
      <c r="G877" s="28">
        <f>IF(F877="","",(F877-D877))</f>
        <v/>
      </c>
      <c r="H877" s="10">
        <f>IF(F877="","",(F877/D877)-1)</f>
        <v/>
      </c>
      <c r="I877" s="75" t="n">
        <v>2850</v>
      </c>
    </row>
    <row r="878" spans="1:23">
      <c r="A878" s="1" t="n">
        <v>42755</v>
      </c>
      <c r="B878" s="25" t="n">
        <v>2938.24</v>
      </c>
      <c r="C878" s="1" t="n">
        <v>43120</v>
      </c>
      <c r="D878" s="25" t="n">
        <v>2851.75</v>
      </c>
      <c r="E878" s="1" t="n">
        <v>43485</v>
      </c>
      <c r="F878" s="25" t="n"/>
      <c r="G878" s="28">
        <f>IF(F878="","",(F878-D878))</f>
        <v/>
      </c>
      <c r="H878" s="10">
        <f>IF(F878="","",(F878/D878)-1)</f>
        <v/>
      </c>
      <c r="I878" s="75" t="n">
        <v>2850</v>
      </c>
    </row>
    <row r="879" spans="1:23">
      <c r="A879" s="1" t="n">
        <v>42756</v>
      </c>
      <c r="B879" s="25" t="n">
        <v>2927.91</v>
      </c>
      <c r="C879" s="1" t="n">
        <v>43121</v>
      </c>
      <c r="D879" s="25" t="n">
        <v>2851.75</v>
      </c>
      <c r="E879" s="1" t="n">
        <v>43486</v>
      </c>
      <c r="F879" s="25" t="n"/>
      <c r="G879" s="28">
        <f>IF(F879="","",(F879-D879))</f>
        <v/>
      </c>
      <c r="H879" s="10">
        <f>IF(F879="","",(F879/D879)-1)</f>
        <v/>
      </c>
      <c r="I879" s="75" t="n">
        <v>2850</v>
      </c>
    </row>
    <row r="880" spans="1:23">
      <c r="A880" s="1" t="n">
        <v>42757</v>
      </c>
      <c r="B880" s="25" t="n">
        <v>2927.91</v>
      </c>
      <c r="C880" s="1" t="n">
        <v>43122</v>
      </c>
      <c r="D880" s="25" t="n">
        <v>2851.75</v>
      </c>
      <c r="E880" s="1" t="n">
        <v>43487</v>
      </c>
      <c r="F880" s="25" t="n"/>
      <c r="G880" s="28">
        <f>IF(F880="","",(F880-D880))</f>
        <v/>
      </c>
      <c r="H880" s="10">
        <f>IF(F880="","",(F880/D880)-1)</f>
        <v/>
      </c>
      <c r="I880" s="75" t="n">
        <v>2850</v>
      </c>
    </row>
    <row r="881" spans="1:23">
      <c r="A881" s="1" t="n">
        <v>42758</v>
      </c>
      <c r="B881" s="25" t="n">
        <v>2927.91</v>
      </c>
      <c r="C881" s="1" t="n">
        <v>43123</v>
      </c>
      <c r="D881" s="25" t="n">
        <v>2854.2</v>
      </c>
      <c r="E881" s="1" t="n">
        <v>43488</v>
      </c>
      <c r="F881" s="25" t="n"/>
      <c r="G881" s="28">
        <f>IF(F881="","",(F881-D881))</f>
        <v/>
      </c>
      <c r="H881" s="10">
        <f>IF(F881="","",(F881/D881)-1)</f>
        <v/>
      </c>
      <c r="I881" s="75" t="n">
        <v>2850</v>
      </c>
    </row>
    <row r="882" spans="1:23">
      <c r="A882" s="1" t="n">
        <v>42759</v>
      </c>
      <c r="B882" s="25" t="n">
        <v>2908.53</v>
      </c>
      <c r="C882" s="1" t="n">
        <v>43124</v>
      </c>
      <c r="D882" s="25" t="n">
        <v>2858.5</v>
      </c>
      <c r="E882" s="1" t="n">
        <v>43489</v>
      </c>
      <c r="F882" s="25" t="n"/>
      <c r="G882" s="28">
        <f>IF(F882="","",(F882-D882))</f>
        <v/>
      </c>
      <c r="H882" s="10">
        <f>IF(F882="","",(F882/D882)-1)</f>
        <v/>
      </c>
      <c r="I882" s="75" t="n">
        <v>2850</v>
      </c>
    </row>
    <row r="883" spans="1:23">
      <c r="A883" s="1" t="n">
        <v>42760</v>
      </c>
      <c r="B883" s="25" t="n">
        <v>2932.01</v>
      </c>
      <c r="C883" s="1" t="n">
        <v>43125</v>
      </c>
      <c r="D883" s="25" t="n">
        <v>2820.53</v>
      </c>
      <c r="E883" s="1" t="n">
        <v>43490</v>
      </c>
      <c r="F883" s="25" t="n"/>
      <c r="G883" s="28">
        <f>IF(F883="","",(F883-D883))</f>
        <v/>
      </c>
      <c r="H883" s="10">
        <f>IF(F883="","",(F883/D883)-1)</f>
        <v/>
      </c>
      <c r="I883" s="75" t="n">
        <v>2850</v>
      </c>
    </row>
    <row r="884" spans="1:23">
      <c r="A884" s="1" t="n">
        <v>42761</v>
      </c>
      <c r="B884" s="25" t="n">
        <v>2927.53</v>
      </c>
      <c r="C884" s="1" t="n">
        <v>43126</v>
      </c>
      <c r="D884" s="25" t="n">
        <v>2783.13</v>
      </c>
      <c r="E884" s="1" t="n">
        <v>43491</v>
      </c>
      <c r="F884" s="25" t="n"/>
      <c r="G884" s="28">
        <f>IF(F884="","",(F884-D884))</f>
        <v/>
      </c>
      <c r="H884" s="10">
        <f>IF(F884="","",(F884/D884)-1)</f>
        <v/>
      </c>
      <c r="I884" s="75" t="n">
        <v>2850</v>
      </c>
    </row>
    <row r="885" spans="1:23">
      <c r="A885" s="1" t="n">
        <v>42762</v>
      </c>
      <c r="B885" s="25" t="n">
        <v>2936.72</v>
      </c>
      <c r="C885" s="1" t="n">
        <v>43127</v>
      </c>
      <c r="D885" s="25" t="n">
        <v>2805.12</v>
      </c>
      <c r="E885" s="1" t="n">
        <v>43492</v>
      </c>
      <c r="F885" s="25" t="n"/>
      <c r="G885" s="28">
        <f>IF(F885="","",(F885-D885))</f>
        <v/>
      </c>
      <c r="H885" s="10">
        <f>IF(F885="","",(F885/D885)-1)</f>
        <v/>
      </c>
      <c r="I885" s="75" t="n">
        <v>2850</v>
      </c>
    </row>
    <row r="886" spans="1:23">
      <c r="A886" s="1" t="n">
        <v>42763</v>
      </c>
      <c r="B886" s="25" t="n">
        <v>2930.17</v>
      </c>
      <c r="C886" s="1" t="n">
        <v>43128</v>
      </c>
      <c r="D886" s="25" t="n">
        <v>2805.12</v>
      </c>
      <c r="E886" s="1" t="n">
        <v>43493</v>
      </c>
      <c r="F886" s="25" t="n"/>
      <c r="G886" s="28">
        <f>IF(F886="","",(F886-D886))</f>
        <v/>
      </c>
      <c r="H886" s="10">
        <f>IF(F886="","",(F886/D886)-1)</f>
        <v/>
      </c>
      <c r="I886" s="75" t="n">
        <v>2850</v>
      </c>
    </row>
    <row r="887" spans="1:23">
      <c r="A887" s="1" t="n">
        <v>42764</v>
      </c>
      <c r="B887" s="25" t="n">
        <v>2930.17</v>
      </c>
      <c r="C887" s="1" t="n">
        <v>43129</v>
      </c>
      <c r="D887" s="25" t="n">
        <v>2805.12</v>
      </c>
      <c r="E887" s="1" t="n">
        <v>43494</v>
      </c>
      <c r="F887" s="25" t="n"/>
      <c r="G887" s="28">
        <f>IF(F887="","",(F887-D887))</f>
        <v/>
      </c>
      <c r="H887" s="10">
        <f>IF(F887="","",(F887/D887)-1)</f>
        <v/>
      </c>
      <c r="I887" s="75" t="n">
        <v>2850</v>
      </c>
    </row>
    <row r="888" spans="1:23">
      <c r="A888" s="1" t="n">
        <v>42765</v>
      </c>
      <c r="B888" s="25" t="n">
        <v>2930.17</v>
      </c>
      <c r="C888" s="1" t="n">
        <v>43130</v>
      </c>
      <c r="D888" s="25" t="n">
        <v>2842.67</v>
      </c>
      <c r="E888" s="1" t="n">
        <v>43495</v>
      </c>
      <c r="F888" s="25" t="n"/>
      <c r="G888" s="28">
        <f>IF(F888="","",(F888-D888))</f>
        <v/>
      </c>
      <c r="H888" s="10">
        <f>IF(F888="","",(F888/D888)-1)</f>
        <v/>
      </c>
      <c r="I888" s="75" t="n">
        <v>2850</v>
      </c>
    </row>
    <row r="889" spans="1:23">
      <c r="A889" s="1" t="n">
        <v>42766</v>
      </c>
      <c r="B889" s="25" t="n">
        <v>2936.66</v>
      </c>
      <c r="C889" s="1" t="n">
        <v>43131</v>
      </c>
      <c r="D889" s="25" t="n">
        <v>2844.14</v>
      </c>
      <c r="E889" s="1" t="n">
        <v>43496</v>
      </c>
      <c r="F889" s="25" t="n"/>
      <c r="G889" s="28">
        <f>IF(F889="","",(F889-D889))</f>
        <v/>
      </c>
      <c r="H889" s="10">
        <f>IF(F889="","",(F889/D889)-1)</f>
        <v/>
      </c>
      <c r="I889" s="75" t="n">
        <v>2850</v>
      </c>
    </row>
    <row r="890" spans="1:23">
      <c r="A890" s="1" t="n">
        <v>42767</v>
      </c>
      <c r="B890" s="25" t="n">
        <v>2921.9</v>
      </c>
      <c r="C890" s="1" t="n">
        <v>43132</v>
      </c>
      <c r="D890" s="25" t="n">
        <v>2835.05</v>
      </c>
      <c r="E890" s="1" t="n">
        <v>43497</v>
      </c>
      <c r="F890" s="25" t="n"/>
      <c r="G890" s="28">
        <f>IF(F890="","",(F890-D890))</f>
        <v/>
      </c>
      <c r="H890" s="10">
        <f>IF(F890="","",(F890/D890)-1)</f>
        <v/>
      </c>
      <c r="I890" s="75" t="n">
        <v>2850</v>
      </c>
    </row>
    <row r="891" spans="1:23">
      <c r="A891" s="1" t="n">
        <v>42768</v>
      </c>
      <c r="B891" s="25" t="n">
        <v>2906.78</v>
      </c>
      <c r="C891" s="1" t="n">
        <v>43133</v>
      </c>
      <c r="D891" s="25" t="n">
        <v>2806.67</v>
      </c>
      <c r="E891" s="1" t="n">
        <v>43498</v>
      </c>
      <c r="F891" s="25" t="n"/>
      <c r="G891" s="28">
        <f>IF(F891="","",(F891-D891))</f>
        <v/>
      </c>
      <c r="H891" s="10">
        <f>IF(F891="","",(F891/D891)-1)</f>
        <v/>
      </c>
      <c r="I891" s="75" t="n">
        <v>2850</v>
      </c>
    </row>
    <row r="892" spans="1:23">
      <c r="A892" s="1" t="n">
        <v>42769</v>
      </c>
      <c r="B892" s="25" t="n">
        <v>2882.2</v>
      </c>
      <c r="C892" s="1" t="n">
        <v>43134</v>
      </c>
      <c r="D892" s="25" t="n">
        <v>2832.13</v>
      </c>
      <c r="E892" s="1" t="n">
        <v>43499</v>
      </c>
      <c r="F892" s="25" t="n"/>
      <c r="G892" s="28">
        <f>IF(F892="","",(F892-D892))</f>
        <v/>
      </c>
      <c r="H892" s="10">
        <f>IF(F892="","",(F892/D892)-1)</f>
        <v/>
      </c>
      <c r="I892" s="75" t="n">
        <v>2850</v>
      </c>
    </row>
    <row r="893" spans="1:23">
      <c r="A893" s="1" t="n">
        <v>42770</v>
      </c>
      <c r="B893" s="25" t="n">
        <v>2855.8</v>
      </c>
      <c r="C893" s="1" t="n">
        <v>43135</v>
      </c>
      <c r="D893" s="25" t="n">
        <v>2832.13</v>
      </c>
      <c r="E893" s="1" t="n">
        <v>43500</v>
      </c>
      <c r="F893" s="25" t="n"/>
      <c r="G893" s="28">
        <f>IF(F893="","",(F893-D893))</f>
        <v/>
      </c>
      <c r="H893" s="10">
        <f>IF(F893="","",(F893/D893)-1)</f>
        <v/>
      </c>
      <c r="I893" s="75" t="n">
        <v>2850</v>
      </c>
    </row>
    <row r="894" spans="1:23">
      <c r="A894" s="1" t="n">
        <v>42771</v>
      </c>
      <c r="B894" s="25" t="n">
        <v>2855.8</v>
      </c>
      <c r="C894" s="1" t="n">
        <v>43136</v>
      </c>
      <c r="D894" s="25" t="n">
        <v>2832.13</v>
      </c>
      <c r="E894" s="1" t="n">
        <v>43501</v>
      </c>
      <c r="F894" s="25" t="n"/>
      <c r="G894" s="28">
        <f>IF(F894="","",(F894-D894))</f>
        <v/>
      </c>
      <c r="H894" s="10">
        <f>IF(F894="","",(F894/D894)-1)</f>
        <v/>
      </c>
      <c r="I894" s="75" t="n">
        <v>2850</v>
      </c>
    </row>
    <row r="895" spans="1:23">
      <c r="A895" s="1" t="n">
        <v>42772</v>
      </c>
      <c r="B895" s="25" t="n">
        <v>2855.8</v>
      </c>
      <c r="C895" s="1" t="n">
        <v>43137</v>
      </c>
      <c r="D895" s="25" t="n">
        <v>2843.6</v>
      </c>
      <c r="E895" s="1" t="n">
        <v>43502</v>
      </c>
      <c r="F895" s="25" t="n"/>
      <c r="G895" s="28">
        <f>IF(F895="","",(F895-D895))</f>
        <v/>
      </c>
      <c r="H895" s="10">
        <f>IF(F895="","",(F895/D895)-1)</f>
        <v/>
      </c>
      <c r="I895" s="75" t="n">
        <v>2850</v>
      </c>
    </row>
    <row r="896" spans="1:23">
      <c r="A896" s="1" t="n">
        <v>42773</v>
      </c>
      <c r="B896" s="25" t="n">
        <v>2853.99</v>
      </c>
      <c r="C896" s="1" t="n">
        <v>43138</v>
      </c>
      <c r="D896" s="25" t="n">
        <v>2844.83</v>
      </c>
      <c r="E896" s="1" t="n">
        <v>43503</v>
      </c>
      <c r="F896" s="25" t="n"/>
      <c r="G896" s="28">
        <f>IF(F896="","",(F896-D896))</f>
        <v/>
      </c>
      <c r="H896" s="10">
        <f>IF(F896="","",(F896/D896)-1)</f>
        <v/>
      </c>
      <c r="I896" s="75" t="n">
        <v>2850</v>
      </c>
    </row>
    <row r="897" spans="1:23">
      <c r="A897" s="1" t="n">
        <v>42774</v>
      </c>
      <c r="B897" s="25" t="n">
        <v>2867.76</v>
      </c>
      <c r="C897" s="1" t="n">
        <v>43139</v>
      </c>
      <c r="D897" s="25" t="n">
        <v>2830.89</v>
      </c>
      <c r="E897" s="1" t="n">
        <v>43504</v>
      </c>
      <c r="F897" s="25" t="n"/>
      <c r="G897" s="28">
        <f>IF(F897="","",(F897-D897))</f>
        <v/>
      </c>
      <c r="H897" s="10">
        <f>IF(F897="","",(F897/D897)-1)</f>
        <v/>
      </c>
      <c r="I897" s="75" t="n">
        <v>2850</v>
      </c>
    </row>
    <row r="898" spans="1:23">
      <c r="A898" s="1" t="n">
        <v>42775</v>
      </c>
      <c r="B898" s="25" t="n">
        <v>2879.49</v>
      </c>
      <c r="C898" s="1" t="n">
        <v>43140</v>
      </c>
      <c r="D898" s="25" t="n">
        <v>2862.78</v>
      </c>
      <c r="E898" s="1" t="n">
        <v>43505</v>
      </c>
      <c r="F898" s="25" t="n"/>
      <c r="G898" s="28">
        <f>IF(F898="","",(F898-D898))</f>
        <v/>
      </c>
      <c r="H898" s="10">
        <f>IF(F898="","",(F898/D898)-1)</f>
        <v/>
      </c>
      <c r="I898" s="75" t="n">
        <v>2850</v>
      </c>
    </row>
    <row r="899" spans="1:23">
      <c r="A899" s="1" t="n">
        <v>42776</v>
      </c>
      <c r="B899" s="25" t="n">
        <v>2862.63</v>
      </c>
      <c r="C899" s="1" t="n">
        <v>43141</v>
      </c>
      <c r="D899" s="25" t="n">
        <v>2908.7</v>
      </c>
      <c r="E899" s="1" t="n">
        <v>43506</v>
      </c>
      <c r="F899" s="25" t="n"/>
      <c r="G899" s="28">
        <f>IF(F899="","",(F899-D899))</f>
        <v/>
      </c>
      <c r="H899" s="10">
        <f>IF(F899="","",(F899/D899)-1)</f>
        <v/>
      </c>
      <c r="I899" s="75" t="n">
        <v>2850</v>
      </c>
    </row>
    <row r="900" spans="1:23">
      <c r="A900" s="1" t="n">
        <v>42777</v>
      </c>
      <c r="B900" s="25" t="n">
        <v>2851.98</v>
      </c>
      <c r="C900" s="1" t="n">
        <v>43142</v>
      </c>
      <c r="D900" s="25" t="n">
        <v>2908.7</v>
      </c>
      <c r="E900" s="1" t="n">
        <v>43507</v>
      </c>
      <c r="F900" s="25" t="n"/>
      <c r="G900" s="28">
        <f>IF(F900="","",(F900-D900))</f>
        <v/>
      </c>
      <c r="H900" s="10">
        <f>IF(F900="","",(F900/D900)-1)</f>
        <v/>
      </c>
      <c r="I900" s="75" t="n">
        <v>2850</v>
      </c>
    </row>
    <row r="901" spans="1:23">
      <c r="A901" s="1" t="n">
        <v>42778</v>
      </c>
      <c r="B901" s="25" t="n">
        <v>2851.98</v>
      </c>
      <c r="C901" s="1" t="n">
        <v>43143</v>
      </c>
      <c r="D901" s="25" t="n">
        <v>2908.7</v>
      </c>
      <c r="E901" s="1" t="n">
        <v>43508</v>
      </c>
      <c r="F901" s="25" t="n"/>
      <c r="G901" s="28">
        <f>IF(F901="","",(F901-D901))</f>
        <v/>
      </c>
      <c r="H901" s="10">
        <f>IF(F901="","",(F901/D901)-1)</f>
        <v/>
      </c>
      <c r="I901" s="75" t="n">
        <v>2850</v>
      </c>
    </row>
    <row r="902" spans="1:23">
      <c r="A902" s="1" t="n">
        <v>42779</v>
      </c>
      <c r="B902" s="25" t="n">
        <v>2851.98</v>
      </c>
      <c r="C902" s="1" t="n">
        <v>43144</v>
      </c>
      <c r="D902" s="25" t="n">
        <v>2904.29</v>
      </c>
      <c r="E902" s="1" t="n">
        <v>43509</v>
      </c>
      <c r="F902" s="25" t="n"/>
      <c r="G902" s="28">
        <f>IF(F902="","",(F902-D902))</f>
        <v/>
      </c>
      <c r="H902" s="10">
        <f>IF(F902="","",(F902/D902)-1)</f>
        <v/>
      </c>
      <c r="I902" s="75" t="n">
        <v>2850</v>
      </c>
    </row>
    <row r="903" spans="1:23">
      <c r="A903" s="1" t="n">
        <v>42780</v>
      </c>
      <c r="B903" s="25" t="n">
        <v>2875.46</v>
      </c>
      <c r="C903" s="1" t="n">
        <v>43145</v>
      </c>
      <c r="D903" s="25" t="n">
        <v>2904.71</v>
      </c>
      <c r="E903" s="1" t="n">
        <v>43510</v>
      </c>
      <c r="F903" s="25" t="n"/>
      <c r="G903" s="28">
        <f>IF(F903="","",(F903-D903))</f>
        <v/>
      </c>
      <c r="H903" s="10">
        <f>IF(F903="","",(F903/D903)-1)</f>
        <v/>
      </c>
      <c r="I903" s="75" t="n">
        <v>2850</v>
      </c>
    </row>
    <row r="904" spans="1:23">
      <c r="A904" s="1" t="n">
        <v>42781</v>
      </c>
      <c r="B904" s="25" t="n">
        <v>2867.64</v>
      </c>
      <c r="C904" s="1" t="n">
        <v>43146</v>
      </c>
      <c r="D904" s="25" t="n">
        <v>2895.79</v>
      </c>
      <c r="E904" s="1" t="n">
        <v>43511</v>
      </c>
      <c r="F904" s="25" t="n"/>
      <c r="G904" s="28">
        <f>IF(F904="","",(F904-D904))</f>
        <v/>
      </c>
      <c r="H904" s="10">
        <f>IF(F904="","",(F904/D904)-1)</f>
        <v/>
      </c>
      <c r="I904" s="75" t="n">
        <v>2850</v>
      </c>
    </row>
    <row r="905" spans="1:23">
      <c r="A905" s="1" t="n">
        <v>42782</v>
      </c>
      <c r="B905" s="25" t="n">
        <v>2876.03</v>
      </c>
      <c r="C905" s="1" t="n">
        <v>43147</v>
      </c>
      <c r="D905" s="25" t="n">
        <v>2895.79</v>
      </c>
      <c r="E905" s="1" t="n">
        <v>43512</v>
      </c>
      <c r="F905" s="25" t="n"/>
      <c r="G905" s="28">
        <f>IF(F905="","",(F905-D905))</f>
        <v/>
      </c>
      <c r="H905" s="10">
        <f>IF(F905="","",(F905/D905)-1)</f>
        <v/>
      </c>
      <c r="I905" s="75" t="n">
        <v>2850</v>
      </c>
    </row>
    <row r="906" spans="1:23">
      <c r="A906" s="1" t="n">
        <v>42783</v>
      </c>
      <c r="B906" s="25" t="n">
        <v>2875.68</v>
      </c>
      <c r="C906" s="1" t="n">
        <v>43148</v>
      </c>
      <c r="D906" s="25" t="n">
        <v>2853.16</v>
      </c>
      <c r="E906" s="1" t="n">
        <v>43513</v>
      </c>
      <c r="F906" s="25" t="n"/>
      <c r="G906" s="28">
        <f>IF(F906="","",(F906-D906))</f>
        <v/>
      </c>
      <c r="H906" s="10">
        <f>IF(F906="","",(F906/D906)-1)</f>
        <v/>
      </c>
      <c r="I906" s="75" t="n">
        <v>2850</v>
      </c>
    </row>
    <row r="907" spans="1:23">
      <c r="A907" s="1" t="n">
        <v>42784</v>
      </c>
      <c r="B907" s="25" t="n">
        <v>2902.81</v>
      </c>
      <c r="C907" s="1" t="n">
        <v>43149</v>
      </c>
      <c r="D907" s="25" t="n">
        <v>2853.16</v>
      </c>
      <c r="E907" s="1" t="n">
        <v>43514</v>
      </c>
      <c r="F907" s="25" t="n"/>
      <c r="G907" s="28">
        <f>IF(F907="","",(F907-D907))</f>
        <v/>
      </c>
      <c r="H907" s="10">
        <f>IF(F907="","",(F907/D907)-1)</f>
        <v/>
      </c>
      <c r="I907" s="75" t="n">
        <v>2850</v>
      </c>
    </row>
    <row r="908" spans="1:23">
      <c r="A908" s="1" t="n">
        <v>42785</v>
      </c>
      <c r="B908" s="25" t="n">
        <v>2902.81</v>
      </c>
      <c r="C908" s="1" t="n">
        <v>43150</v>
      </c>
      <c r="D908" s="25" t="n">
        <v>2853.16</v>
      </c>
      <c r="E908" s="1" t="n">
        <v>43515</v>
      </c>
      <c r="F908" s="25" t="n"/>
      <c r="G908" s="28">
        <f>IF(F908="","",(F908-D908))</f>
        <v/>
      </c>
      <c r="H908" s="10">
        <f>IF(F908="","",(F908/D908)-1)</f>
        <v/>
      </c>
      <c r="I908" s="75" t="n">
        <v>2850</v>
      </c>
    </row>
    <row r="909" spans="1:23">
      <c r="A909" s="1" t="n">
        <v>42786</v>
      </c>
      <c r="B909" s="25" t="n">
        <v>2902.81</v>
      </c>
      <c r="C909" s="1" t="n">
        <v>43151</v>
      </c>
      <c r="D909" s="25" t="n">
        <v>2853.16</v>
      </c>
      <c r="E909" s="1" t="n">
        <v>43516</v>
      </c>
      <c r="F909" s="25" t="n"/>
      <c r="G909" s="28">
        <f>IF(F909="","",(F909-D909))</f>
        <v/>
      </c>
      <c r="H909" s="10">
        <f>IF(F909="","",(F909/D909)-1)</f>
        <v/>
      </c>
      <c r="I909" s="75" t="n">
        <v>2850</v>
      </c>
    </row>
    <row r="910" spans="1:23">
      <c r="A910" s="1" t="n">
        <v>42787</v>
      </c>
      <c r="B910" s="25" t="n">
        <v>2902.81</v>
      </c>
      <c r="C910" s="1" t="n">
        <v>43152</v>
      </c>
      <c r="D910" s="25" t="n">
        <v>2862.01</v>
      </c>
      <c r="E910" s="1" t="n">
        <v>43517</v>
      </c>
      <c r="F910" s="25" t="n"/>
      <c r="G910" s="28">
        <f>IF(F910="","",(F910-D910))</f>
        <v/>
      </c>
      <c r="H910" s="10">
        <f>IF(F910="","",(F910/D910)-1)</f>
        <v/>
      </c>
      <c r="I910" s="75" t="n">
        <v>2850</v>
      </c>
    </row>
    <row r="911" spans="1:23">
      <c r="A911" s="1" t="n">
        <v>42788</v>
      </c>
      <c r="B911" s="25" t="n">
        <v>2902.68</v>
      </c>
      <c r="C911" s="1" t="n">
        <v>43153</v>
      </c>
      <c r="D911" s="25" t="n">
        <v>2877.94</v>
      </c>
      <c r="E911" s="1" t="n">
        <v>43518</v>
      </c>
      <c r="F911" s="25" t="n"/>
      <c r="G911" s="28">
        <f>IF(F911="","",(F911-D911))</f>
        <v/>
      </c>
      <c r="H911" s="10">
        <f>IF(F911="","",(F911/D911)-1)</f>
        <v/>
      </c>
      <c r="I911" s="75" t="n">
        <v>2850</v>
      </c>
    </row>
    <row r="912" spans="1:23">
      <c r="A912" s="1" t="n">
        <v>42789</v>
      </c>
      <c r="B912" s="25" t="n">
        <v>2893.55</v>
      </c>
      <c r="C912" s="1" t="n">
        <v>43154</v>
      </c>
      <c r="D912" s="25" t="n">
        <v>2877.04</v>
      </c>
      <c r="E912" s="1" t="n">
        <v>43519</v>
      </c>
      <c r="F912" s="25" t="n"/>
      <c r="G912" s="28">
        <f>IF(F912="","",(F912-D912))</f>
        <v/>
      </c>
      <c r="H912" s="10">
        <f>IF(F912="","",(F912/D912)-1)</f>
        <v/>
      </c>
      <c r="I912" s="75" t="n">
        <v>2850</v>
      </c>
    </row>
    <row r="913" spans="1:23">
      <c r="A913" s="1" t="n">
        <v>42790</v>
      </c>
      <c r="B913" s="25" t="n">
        <v>2871.67</v>
      </c>
      <c r="C913" s="1" t="n">
        <v>43155</v>
      </c>
      <c r="D913" s="25" t="n">
        <v>2849.59</v>
      </c>
      <c r="E913" s="1" t="n">
        <v>43520</v>
      </c>
      <c r="F913" s="25" t="n"/>
      <c r="G913" s="28">
        <f>IF(F913="","",(F913-D913))</f>
        <v/>
      </c>
      <c r="H913" s="10">
        <f>IF(F913="","",(F913/D913)-1)</f>
        <v/>
      </c>
      <c r="I913" s="75" t="n">
        <v>2850</v>
      </c>
    </row>
    <row r="914" spans="1:23">
      <c r="A914" s="1" t="n">
        <v>42791</v>
      </c>
      <c r="B914" s="25" t="n">
        <v>2886.52</v>
      </c>
      <c r="C914" s="1" t="n">
        <v>43156</v>
      </c>
      <c r="D914" s="25" t="n">
        <v>2849.59</v>
      </c>
      <c r="E914" s="1" t="n">
        <v>43521</v>
      </c>
      <c r="F914" s="25" t="n"/>
      <c r="G914" s="28">
        <f>IF(F914="","",(F914-D914))</f>
        <v/>
      </c>
      <c r="H914" s="10">
        <f>IF(F914="","",(F914/D914)-1)</f>
        <v/>
      </c>
      <c r="I914" s="75" t="n">
        <v>2850</v>
      </c>
    </row>
    <row r="915" spans="1:23">
      <c r="A915" s="1" t="n">
        <v>42792</v>
      </c>
      <c r="B915" s="25" t="n">
        <v>2886.52</v>
      </c>
      <c r="C915" s="1" t="n">
        <v>43157</v>
      </c>
      <c r="D915" s="25" t="n">
        <v>2849.59</v>
      </c>
      <c r="E915" s="1" t="n">
        <v>43522</v>
      </c>
      <c r="F915" s="25" t="n"/>
      <c r="G915" s="28">
        <f>IF(F915="","",(F915-D915))</f>
        <v/>
      </c>
      <c r="H915" s="10">
        <f>IF(F915="","",(F915/D915)-1)</f>
        <v/>
      </c>
      <c r="I915" s="75" t="n">
        <v>2850</v>
      </c>
    </row>
    <row r="916" spans="1:23">
      <c r="A916" s="1" t="n">
        <v>42793</v>
      </c>
      <c r="B916" s="25" t="n">
        <v>2886.52</v>
      </c>
      <c r="C916" s="1" t="n">
        <v>43158</v>
      </c>
      <c r="D916" s="25" t="n">
        <v>2849.91</v>
      </c>
      <c r="E916" s="1" t="n">
        <v>43523</v>
      </c>
      <c r="F916" s="25" t="n"/>
      <c r="G916" s="28">
        <f>IF(F916="","",(F916-D916))</f>
        <v/>
      </c>
      <c r="H916" s="10">
        <f>IF(F916="","",(F916/D916)-1)</f>
        <v/>
      </c>
      <c r="I916" s="75" t="n">
        <v>2850</v>
      </c>
    </row>
    <row r="917" spans="1:23">
      <c r="A917" s="1" t="n">
        <v>42794</v>
      </c>
      <c r="B917" s="25" t="n">
        <v>2896.27</v>
      </c>
      <c r="C917" s="1" t="n">
        <v>43159</v>
      </c>
      <c r="D917" s="25" t="n">
        <v>2855.93</v>
      </c>
      <c r="E917" s="1" t="n">
        <v>43524</v>
      </c>
      <c r="F917" s="25" t="n"/>
      <c r="G917" s="28">
        <f>IF(F917="","",(F917-D917))</f>
        <v/>
      </c>
      <c r="H917" s="10">
        <f>IF(F917="","",(F917/D917)-1)</f>
        <v/>
      </c>
      <c r="I917" s="75" t="n">
        <v>2850</v>
      </c>
    </row>
    <row r="918" spans="1:23">
      <c r="A918" s="1" t="n">
        <v>42795</v>
      </c>
      <c r="B918" s="25" t="n">
        <v>2919.17</v>
      </c>
      <c r="C918" s="1" t="n">
        <v>43160</v>
      </c>
      <c r="D918" s="25" t="n">
        <v>2867.94</v>
      </c>
      <c r="E918" s="1" t="n">
        <v>43525</v>
      </c>
      <c r="F918" s="25" t="n"/>
      <c r="G918" s="28">
        <f>IF(F918="","",(F918-D918))</f>
        <v/>
      </c>
      <c r="H918" s="10">
        <f>IF(F918="","",(F918/D918)-1)</f>
        <v/>
      </c>
      <c r="I918" s="75" t="n">
        <v>2850</v>
      </c>
    </row>
    <row r="919" spans="1:23">
      <c r="A919" s="1" t="n">
        <v>42796</v>
      </c>
      <c r="B919" s="25" t="n">
        <v>2935.75</v>
      </c>
      <c r="C919" s="1" t="n">
        <v>43161</v>
      </c>
      <c r="D919" s="25" t="n">
        <v>2879.05</v>
      </c>
      <c r="E919" s="1" t="n">
        <v>43526</v>
      </c>
      <c r="F919" s="25" t="n"/>
      <c r="G919" s="28">
        <f>IF(F919="","",(F919-D919))</f>
        <v/>
      </c>
      <c r="H919" s="10">
        <f>IF(F919="","",(F919/D919)-1)</f>
        <v/>
      </c>
      <c r="I919" s="75" t="n">
        <v>2850</v>
      </c>
    </row>
    <row r="920" spans="1:23">
      <c r="A920" s="1" t="n">
        <v>42797</v>
      </c>
      <c r="B920" s="25" t="n">
        <v>2960.91</v>
      </c>
      <c r="C920" s="1" t="n">
        <v>43162</v>
      </c>
      <c r="D920" s="25" t="n">
        <v>2879.15</v>
      </c>
      <c r="E920" s="1" t="n">
        <v>43527</v>
      </c>
      <c r="F920" s="25" t="n"/>
      <c r="G920" s="28">
        <f>IF(F920="","",(F920-D920))</f>
        <v/>
      </c>
      <c r="H920" s="10">
        <f>IF(F920="","",(F920/D920)-1)</f>
        <v/>
      </c>
      <c r="I920" s="75" t="n">
        <v>2850</v>
      </c>
    </row>
    <row r="921" spans="1:23">
      <c r="A921" s="1" t="n">
        <v>42798</v>
      </c>
      <c r="B921" s="25" t="n">
        <v>2977.43</v>
      </c>
      <c r="C921" s="1" t="n">
        <v>43163</v>
      </c>
      <c r="D921" s="25" t="n">
        <v>2879.15</v>
      </c>
      <c r="E921" s="1" t="n">
        <v>43528</v>
      </c>
      <c r="F921" s="25" t="n"/>
      <c r="G921" s="28">
        <f>IF(F921="","",(F921-D921))</f>
        <v/>
      </c>
      <c r="H921" s="10">
        <f>IF(F921="","",(F921/D921)-1)</f>
        <v/>
      </c>
      <c r="I921" s="75" t="n">
        <v>2850</v>
      </c>
    </row>
    <row r="922" spans="1:23">
      <c r="A922" s="1" t="n">
        <v>42799</v>
      </c>
      <c r="B922" s="25" t="n">
        <v>2977.43</v>
      </c>
      <c r="C922" s="1" t="n">
        <v>43164</v>
      </c>
      <c r="D922" s="25" t="n">
        <v>2879.15</v>
      </c>
      <c r="E922" s="1" t="n">
        <v>43529</v>
      </c>
      <c r="F922" s="25" t="n"/>
      <c r="G922" s="28">
        <f>IF(F922="","",(F922-D922))</f>
        <v/>
      </c>
      <c r="H922" s="10">
        <f>IF(F922="","",(F922/D922)-1)</f>
        <v/>
      </c>
      <c r="I922" s="75" t="n">
        <v>2850</v>
      </c>
    </row>
    <row r="923" spans="1:23">
      <c r="A923" s="1" t="n">
        <v>42800</v>
      </c>
      <c r="B923" s="25" t="n">
        <v>2977.43</v>
      </c>
      <c r="C923" s="1" t="n">
        <v>43165</v>
      </c>
      <c r="D923" s="25" t="n">
        <v>2859.09</v>
      </c>
      <c r="E923" s="1" t="n">
        <v>43530</v>
      </c>
      <c r="F923" s="25" t="n"/>
      <c r="G923" s="28">
        <f>IF(F923="","",(F923-D923))</f>
        <v/>
      </c>
      <c r="H923" s="10">
        <f>IF(F923="","",(F923/D923)-1)</f>
        <v/>
      </c>
      <c r="I923" s="75" t="n">
        <v>2850</v>
      </c>
    </row>
    <row r="924" spans="1:23">
      <c r="A924" s="1" t="n">
        <v>42801</v>
      </c>
      <c r="B924" s="25" t="n">
        <v>2966.67</v>
      </c>
      <c r="C924" s="1" t="n">
        <v>43166</v>
      </c>
      <c r="D924" s="25" t="n">
        <v>2845.05</v>
      </c>
      <c r="E924" s="1" t="n">
        <v>43531</v>
      </c>
      <c r="F924" s="25" t="n"/>
      <c r="G924" s="28">
        <f>IF(F924="","",(F924-D924))</f>
        <v/>
      </c>
      <c r="H924" s="10">
        <f>IF(F924="","",(F924/D924)-1)</f>
        <v/>
      </c>
      <c r="I924" s="75" t="n">
        <v>2850</v>
      </c>
    </row>
    <row r="925" spans="1:23">
      <c r="A925" s="1" t="n">
        <v>42802</v>
      </c>
      <c r="B925" s="25" t="n">
        <v>2972.44</v>
      </c>
      <c r="C925" s="1" t="n">
        <v>43167</v>
      </c>
      <c r="D925" s="25" t="n">
        <v>2858.88</v>
      </c>
      <c r="E925" s="1" t="n">
        <v>43532</v>
      </c>
      <c r="F925" s="25" t="n"/>
      <c r="G925" s="28">
        <f>IF(F925="","",(F925-D925))</f>
        <v/>
      </c>
      <c r="H925" s="10">
        <f>IF(F925="","",(F925/D925)-1)</f>
        <v/>
      </c>
      <c r="I925" s="75" t="n">
        <v>2850</v>
      </c>
    </row>
    <row r="926" spans="1:23">
      <c r="A926" s="1" t="n">
        <v>42803</v>
      </c>
      <c r="B926" s="25" t="n">
        <v>2987.88</v>
      </c>
      <c r="C926" s="1" t="n">
        <v>43168</v>
      </c>
      <c r="D926" s="25" t="n">
        <v>2871.36</v>
      </c>
      <c r="E926" s="1" t="n">
        <v>43533</v>
      </c>
      <c r="F926" s="25" t="n"/>
      <c r="G926" s="28">
        <f>IF(F926="","",(F926-D926))</f>
        <v/>
      </c>
      <c r="H926" s="10">
        <f>IF(F926="","",(F926/D926)-1)</f>
        <v/>
      </c>
      <c r="I926" s="75" t="n">
        <v>2850</v>
      </c>
    </row>
    <row r="927" spans="1:23">
      <c r="A927" s="1" t="n">
        <v>42804</v>
      </c>
      <c r="B927" s="25" t="n">
        <v>3004.43</v>
      </c>
      <c r="C927" s="1" t="n">
        <v>43169</v>
      </c>
      <c r="D927" s="25" t="n">
        <v>2866.93</v>
      </c>
      <c r="E927" s="1" t="n">
        <v>43534</v>
      </c>
      <c r="F927" s="25" t="n"/>
      <c r="G927" s="28">
        <f>IF(F927="","",(F927-D927))</f>
        <v/>
      </c>
      <c r="H927" s="10">
        <f>IF(F927="","",(F927/D927)-1)</f>
        <v/>
      </c>
      <c r="I927" s="75" t="n">
        <v>2850</v>
      </c>
    </row>
    <row r="928" spans="1:23">
      <c r="A928" s="1" t="n">
        <v>42805</v>
      </c>
      <c r="B928" s="25" t="n">
        <v>2980.83</v>
      </c>
      <c r="C928" s="1" t="n">
        <v>43170</v>
      </c>
      <c r="D928" s="25" t="n">
        <v>2866.93</v>
      </c>
      <c r="E928" s="1" t="n">
        <v>43535</v>
      </c>
      <c r="F928" s="25" t="n"/>
      <c r="G928" s="28">
        <f>IF(F928="","",(F928-D928))</f>
        <v/>
      </c>
      <c r="H928" s="10">
        <f>IF(F928="","",(F928/D928)-1)</f>
        <v/>
      </c>
      <c r="I928" s="75" t="n">
        <v>2850</v>
      </c>
    </row>
    <row r="929" spans="1:23">
      <c r="A929" s="1" t="n">
        <v>42806</v>
      </c>
      <c r="B929" s="25" t="n">
        <v>2980.83</v>
      </c>
      <c r="C929" s="1" t="n">
        <v>43171</v>
      </c>
      <c r="D929" s="25" t="n">
        <v>2866.93</v>
      </c>
      <c r="E929" s="1" t="n">
        <v>43536</v>
      </c>
      <c r="F929" s="25" t="n"/>
      <c r="G929" s="28">
        <f>IF(F929="","",(F929-D929))</f>
        <v/>
      </c>
      <c r="H929" s="10">
        <f>IF(F929="","",(F929/D929)-1)</f>
        <v/>
      </c>
      <c r="I929" s="75" t="n">
        <v>2850</v>
      </c>
    </row>
    <row r="930" spans="1:23">
      <c r="A930" s="1" t="n">
        <v>42807</v>
      </c>
      <c r="B930" s="25" t="n">
        <v>2980.83</v>
      </c>
      <c r="C930" s="1" t="n">
        <v>43172</v>
      </c>
      <c r="D930" s="25" t="n">
        <v>2851.84</v>
      </c>
      <c r="E930" s="1" t="n">
        <v>43537</v>
      </c>
      <c r="F930" s="25" t="n"/>
      <c r="G930" s="28">
        <f>IF(F930="","",(F930-D930))</f>
        <v/>
      </c>
      <c r="H930" s="10">
        <f>IF(F930="","",(F930/D930)-1)</f>
        <v/>
      </c>
      <c r="I930" s="75" t="n">
        <v>2850</v>
      </c>
    </row>
    <row r="931" spans="1:23">
      <c r="A931" s="1" t="n">
        <v>42808</v>
      </c>
      <c r="B931" s="25" t="n">
        <v>2987.93</v>
      </c>
      <c r="C931" s="1" t="n">
        <v>43173</v>
      </c>
      <c r="D931" s="25" t="n">
        <v>2848.38</v>
      </c>
      <c r="E931" s="1" t="n">
        <v>43538</v>
      </c>
      <c r="F931" s="25" t="n"/>
      <c r="G931" s="28">
        <f>IF(F931="","",(F931-D931))</f>
        <v/>
      </c>
      <c r="H931" s="10">
        <f>IF(F931="","",(F931/D931)-1)</f>
        <v/>
      </c>
      <c r="I931" s="75" t="n">
        <v>2850</v>
      </c>
    </row>
    <row r="932" spans="1:23">
      <c r="A932" s="1" t="n">
        <v>42809</v>
      </c>
      <c r="B932" s="25" t="n">
        <v>2997.73</v>
      </c>
      <c r="C932" s="1" t="n">
        <v>43174</v>
      </c>
      <c r="D932" s="25" t="n">
        <v>2845.76</v>
      </c>
      <c r="E932" s="1" t="n">
        <v>43539</v>
      </c>
      <c r="F932" s="25" t="n"/>
      <c r="G932" s="28">
        <f>IF(F932="","",(F932-D932))</f>
        <v/>
      </c>
      <c r="H932" s="10">
        <f>IF(F932="","",(F932/D932)-1)</f>
        <v/>
      </c>
      <c r="I932" s="75" t="n">
        <v>2850</v>
      </c>
    </row>
    <row r="933" spans="1:23">
      <c r="A933" s="1" t="n">
        <v>42810</v>
      </c>
      <c r="B933" s="25" t="n">
        <v>2972.61</v>
      </c>
      <c r="C933" s="1" t="n">
        <v>43175</v>
      </c>
      <c r="D933" s="25" t="n">
        <v>2850.04</v>
      </c>
      <c r="E933" s="1" t="n">
        <v>43540</v>
      </c>
      <c r="F933" s="25" t="n"/>
      <c r="G933" s="28">
        <f>IF(F933="","",(F933-D933))</f>
        <v/>
      </c>
      <c r="H933" s="10">
        <f>IF(F933="","",(F933/D933)-1)</f>
        <v/>
      </c>
      <c r="I933" s="75" t="n">
        <v>2850</v>
      </c>
    </row>
    <row r="934" spans="1:23">
      <c r="A934" s="1" t="n">
        <v>42811</v>
      </c>
      <c r="B934" s="25" t="n">
        <v>2923.96</v>
      </c>
      <c r="C934" s="1" t="n">
        <v>43176</v>
      </c>
      <c r="D934" s="25" t="n">
        <v>2852.48</v>
      </c>
      <c r="E934" s="1" t="n">
        <v>43541</v>
      </c>
      <c r="F934" s="25" t="n"/>
      <c r="G934" s="28">
        <f>IF(F934="","",(F934-D934))</f>
        <v/>
      </c>
      <c r="H934" s="10">
        <f>IF(F934="","",(F934/D934)-1)</f>
        <v/>
      </c>
      <c r="I934" s="75" t="n">
        <v>2850</v>
      </c>
    </row>
    <row r="935" spans="1:23">
      <c r="A935" s="1" t="n">
        <v>42812</v>
      </c>
      <c r="B935" s="25" t="n">
        <v>2912.53</v>
      </c>
      <c r="C935" s="1" t="n">
        <v>43177</v>
      </c>
      <c r="D935" s="25" t="n">
        <v>2852.48</v>
      </c>
      <c r="E935" s="1" t="n">
        <v>43542</v>
      </c>
      <c r="F935" s="25" t="n"/>
      <c r="G935" s="28">
        <f>IF(F935="","",(F935-D935))</f>
        <v/>
      </c>
      <c r="H935" s="10">
        <f>IF(F935="","",(F935/D935)-1)</f>
        <v/>
      </c>
      <c r="I935" s="75" t="n">
        <v>2850</v>
      </c>
    </row>
    <row r="936" spans="1:23">
      <c r="A936" s="1" t="n">
        <v>42813</v>
      </c>
      <c r="B936" s="25" t="n">
        <v>2912.53</v>
      </c>
      <c r="C936" s="1" t="n">
        <v>43178</v>
      </c>
      <c r="D936" s="25" t="n">
        <v>2852.48</v>
      </c>
      <c r="E936" s="1" t="n">
        <v>43543</v>
      </c>
      <c r="F936" s="25" t="n"/>
      <c r="G936" s="28">
        <f>IF(F936="","",(F936-D936))</f>
        <v/>
      </c>
      <c r="H936" s="10">
        <f>IF(F936="","",(F936/D936)-1)</f>
        <v/>
      </c>
      <c r="I936" s="75" t="n">
        <v>2850</v>
      </c>
    </row>
    <row r="937" spans="1:23">
      <c r="A937" s="1" t="n">
        <v>42814</v>
      </c>
      <c r="B937" s="25" t="n">
        <v>2912.53</v>
      </c>
      <c r="C937" s="1" t="n">
        <v>43179</v>
      </c>
      <c r="D937" s="25" t="n">
        <v>2852.48</v>
      </c>
      <c r="E937" s="1" t="n">
        <v>43544</v>
      </c>
      <c r="F937" s="25" t="n"/>
      <c r="G937" s="28">
        <f>IF(F937="","",(F937-D937))</f>
        <v/>
      </c>
      <c r="H937" s="10">
        <f>IF(F937="","",(F937/D937)-1)</f>
        <v/>
      </c>
      <c r="I937" s="75" t="n">
        <v>2850</v>
      </c>
    </row>
    <row r="938" spans="1:23">
      <c r="A938" s="1" t="n">
        <v>42815</v>
      </c>
      <c r="B938" s="25" t="n">
        <v>2912.53</v>
      </c>
      <c r="C938" s="1" t="n">
        <v>43180</v>
      </c>
      <c r="D938" s="25" t="n">
        <v>2866.92</v>
      </c>
      <c r="E938" s="1" t="n">
        <v>43545</v>
      </c>
      <c r="F938" s="25" t="n"/>
      <c r="G938" s="28">
        <f>IF(F938="","",(F938-D938))</f>
        <v/>
      </c>
      <c r="H938" s="10">
        <f>IF(F938="","",(F938/D938)-1)</f>
        <v/>
      </c>
      <c r="I938" s="75" t="n">
        <v>2850</v>
      </c>
    </row>
    <row r="939" spans="1:23">
      <c r="A939" s="1" t="n">
        <v>42816</v>
      </c>
      <c r="B939" s="25" t="n">
        <v>2904.87</v>
      </c>
      <c r="C939" s="1" t="n">
        <v>43181</v>
      </c>
      <c r="D939" s="25" t="n">
        <v>2850.69</v>
      </c>
      <c r="E939" s="1" t="n">
        <v>43546</v>
      </c>
      <c r="F939" s="25" t="n"/>
      <c r="G939" s="28">
        <f>IF(F939="","",(F939-D939))</f>
        <v/>
      </c>
      <c r="H939" s="10">
        <f>IF(F939="","",(F939/D939)-1)</f>
        <v/>
      </c>
      <c r="I939" s="75" t="n">
        <v>2850</v>
      </c>
    </row>
    <row r="940" spans="1:23">
      <c r="A940" s="1" t="n">
        <v>42817</v>
      </c>
      <c r="B940" s="25" t="n">
        <v>2936.82</v>
      </c>
      <c r="C940" s="1" t="n">
        <v>43182</v>
      </c>
      <c r="D940" s="25" t="n">
        <v>2857.88</v>
      </c>
      <c r="E940" s="1" t="n">
        <v>43547</v>
      </c>
      <c r="F940" s="25" t="n"/>
      <c r="G940" s="28">
        <f>IF(F940="","",(F940-D940))</f>
        <v/>
      </c>
      <c r="H940" s="10">
        <f>IF(F940="","",(F940/D940)-1)</f>
        <v/>
      </c>
      <c r="I940" s="75" t="n">
        <v>2850</v>
      </c>
    </row>
    <row r="941" spans="1:23">
      <c r="A941" s="1" t="n">
        <v>42818</v>
      </c>
      <c r="B941" s="25" t="n">
        <v>2921.25</v>
      </c>
      <c r="C941" s="1" t="n">
        <v>43183</v>
      </c>
      <c r="D941" s="25" t="n">
        <v>2849.01</v>
      </c>
      <c r="E941" s="1" t="n">
        <v>43548</v>
      </c>
      <c r="F941" s="25" t="n"/>
      <c r="G941" s="28">
        <f>IF(F941="","",(F941-D941))</f>
        <v/>
      </c>
      <c r="H941" s="10">
        <f>IF(F941="","",(F941/D941)-1)</f>
        <v/>
      </c>
      <c r="I941" s="75" t="n">
        <v>2850</v>
      </c>
    </row>
    <row r="942" spans="1:23">
      <c r="A942" s="1" t="n">
        <v>42819</v>
      </c>
      <c r="B942" s="25" t="n">
        <v>2899.94</v>
      </c>
      <c r="C942" s="1" t="n">
        <v>43184</v>
      </c>
      <c r="D942" s="25" t="n">
        <v>2849.01</v>
      </c>
      <c r="E942" s="1" t="n">
        <v>43549</v>
      </c>
      <c r="F942" s="25" t="n"/>
      <c r="G942" s="28">
        <f>IF(F942="","",(F942-D942))</f>
        <v/>
      </c>
      <c r="H942" s="10">
        <f>IF(F942="","",(F942/D942)-1)</f>
        <v/>
      </c>
      <c r="I942" s="75" t="n">
        <v>2850</v>
      </c>
    </row>
    <row r="943" spans="1:23">
      <c r="A943" s="1" t="n">
        <v>42820</v>
      </c>
      <c r="B943" s="25" t="n">
        <v>2899.94</v>
      </c>
      <c r="C943" s="1" t="n">
        <v>43185</v>
      </c>
      <c r="D943" s="25" t="n">
        <v>2849.01</v>
      </c>
      <c r="E943" s="1" t="n">
        <v>43550</v>
      </c>
      <c r="F943" s="25" t="n"/>
      <c r="G943" s="28">
        <f>IF(F943="","",(F943-D943))</f>
        <v/>
      </c>
      <c r="H943" s="10">
        <f>IF(F943="","",(F943/D943)-1)</f>
        <v/>
      </c>
      <c r="I943" s="75" t="n">
        <v>2850</v>
      </c>
    </row>
    <row r="944" spans="1:23">
      <c r="A944" s="1" t="n">
        <v>42821</v>
      </c>
      <c r="B944" s="25" t="n">
        <v>2899.94</v>
      </c>
      <c r="C944" s="1" t="n">
        <v>43186</v>
      </c>
      <c r="D944" s="25" t="n">
        <v>2816.33</v>
      </c>
      <c r="E944" s="1" t="n">
        <v>43551</v>
      </c>
      <c r="F944" s="25" t="n"/>
      <c r="G944" s="28">
        <f>IF(F944="","",(F944-D944))</f>
        <v/>
      </c>
      <c r="H944" s="10">
        <f>IF(F944="","",(F944/D944)-1)</f>
        <v/>
      </c>
      <c r="I944" s="75" t="n">
        <v>2850</v>
      </c>
    </row>
    <row r="945" spans="1:23">
      <c r="A945" s="1" t="n">
        <v>42822</v>
      </c>
      <c r="B945" s="25" t="n">
        <v>2913.48</v>
      </c>
      <c r="C945" s="1" t="n">
        <v>43187</v>
      </c>
      <c r="D945" s="25" t="n">
        <v>2780.04</v>
      </c>
      <c r="E945" s="1" t="n">
        <v>43552</v>
      </c>
      <c r="F945" s="25" t="n"/>
      <c r="G945" s="28">
        <f>IF(F945="","",(F945-D945))</f>
        <v/>
      </c>
      <c r="H945" s="10">
        <f>IF(F945="","",(F945/D945)-1)</f>
        <v/>
      </c>
      <c r="I945" s="75" t="n">
        <v>2850</v>
      </c>
    </row>
    <row r="946" spans="1:23">
      <c r="A946" s="1" t="n">
        <v>42823</v>
      </c>
      <c r="B946" s="25" t="n">
        <v>2911.99</v>
      </c>
      <c r="C946" s="1" t="n">
        <v>43188</v>
      </c>
      <c r="D946" s="25" t="n">
        <v>2780.47</v>
      </c>
      <c r="E946" s="1" t="n">
        <v>43553</v>
      </c>
      <c r="F946" s="25" t="n"/>
      <c r="G946" s="28">
        <f>IF(F946="","",(F946-D946))</f>
        <v/>
      </c>
      <c r="H946" s="10">
        <f>IF(F946="","",(F946/D946)-1)</f>
        <v/>
      </c>
      <c r="I946" s="75" t="n">
        <v>2850</v>
      </c>
    </row>
    <row r="947" spans="1:23">
      <c r="A947" s="1" t="n">
        <v>42824</v>
      </c>
      <c r="B947" s="25" t="n">
        <v>2888.02</v>
      </c>
      <c r="C947" s="1" t="n">
        <v>43189</v>
      </c>
      <c r="D947" s="25" t="n">
        <v>2780.47</v>
      </c>
      <c r="E947" s="1" t="n">
        <v>43554</v>
      </c>
      <c r="F947" s="25" t="n"/>
      <c r="G947" s="28">
        <f>IF(F947="","",(F947-D947))</f>
        <v/>
      </c>
      <c r="H947" s="10">
        <f>IF(F947="","",(F947/D947)-1)</f>
        <v/>
      </c>
      <c r="I947" s="75" t="n">
        <v>2850</v>
      </c>
    </row>
    <row r="948" spans="1:23">
      <c r="A948" s="1" t="n">
        <v>42825</v>
      </c>
      <c r="B948" s="25" t="n">
        <v>2880.24</v>
      </c>
      <c r="C948" s="1" t="n">
        <v>43190</v>
      </c>
      <c r="D948" s="25" t="n">
        <v>2780.47</v>
      </c>
      <c r="E948" s="1" t="n">
        <v>43555</v>
      </c>
      <c r="F948" s="25" t="n"/>
      <c r="G948" s="28">
        <f>IF(F948="","",(F948-D948))</f>
        <v/>
      </c>
      <c r="H948" s="10">
        <f>IF(F948="","",(F948/D948)-1)</f>
        <v/>
      </c>
      <c r="I948" s="75" t="n">
        <v>2850</v>
      </c>
    </row>
    <row r="949" spans="1:23">
      <c r="A949" s="1" t="n">
        <v>42826</v>
      </c>
      <c r="B949" s="25" t="n">
        <v>2885.57</v>
      </c>
      <c r="C949" s="1" t="n">
        <v>43191</v>
      </c>
      <c r="D949" s="25" t="n">
        <v>2780.47</v>
      </c>
      <c r="E949" s="1" t="n">
        <v>43556</v>
      </c>
      <c r="F949" s="25" t="n"/>
      <c r="G949" s="28">
        <f>IF(F949="","",(F949-D949))</f>
        <v/>
      </c>
      <c r="H949" s="10">
        <f>IF(F949="","",(F949/D949)-1)</f>
        <v/>
      </c>
      <c r="I949" s="75" t="n">
        <v>2850</v>
      </c>
    </row>
    <row r="950" spans="1:23">
      <c r="A950" s="1" t="n">
        <v>42827</v>
      </c>
      <c r="B950" s="25" t="n">
        <v>2885.57</v>
      </c>
      <c r="C950" s="1" t="n">
        <v>43192</v>
      </c>
      <c r="D950" s="25" t="n">
        <v>2780.47</v>
      </c>
      <c r="E950" s="1" t="n">
        <v>43557</v>
      </c>
      <c r="F950" s="25" t="n"/>
      <c r="G950" s="28">
        <f>IF(F950="","",(F950-D950))</f>
        <v/>
      </c>
      <c r="H950" s="10">
        <f>IF(F950="","",(F950/D950)-1)</f>
        <v/>
      </c>
      <c r="I950" s="75" t="n">
        <v>2850</v>
      </c>
    </row>
    <row r="951" spans="1:23">
      <c r="A951" s="1" t="n">
        <v>42828</v>
      </c>
      <c r="B951" s="25" t="n">
        <v>2885.57</v>
      </c>
      <c r="C951" s="1" t="n">
        <v>43193</v>
      </c>
      <c r="D951" s="25" t="n">
        <v>2792.96</v>
      </c>
      <c r="E951" s="1" t="n">
        <v>43558</v>
      </c>
      <c r="F951" s="25" t="n"/>
      <c r="G951" s="28">
        <f>IF(F951="","",(F951-D951))</f>
        <v/>
      </c>
      <c r="H951" s="10">
        <f>IF(F951="","",(F951/D951)-1)</f>
        <v/>
      </c>
      <c r="I951" s="75" t="n">
        <v>2850</v>
      </c>
    </row>
    <row r="952" spans="1:23">
      <c r="A952" s="1" t="n">
        <v>42829</v>
      </c>
      <c r="B952" s="25" t="n">
        <v>2866.87</v>
      </c>
      <c r="C952" s="1" t="n">
        <v>43194</v>
      </c>
      <c r="D952" s="25" t="n">
        <v>2778.27</v>
      </c>
      <c r="E952" s="1" t="n">
        <v>43559</v>
      </c>
      <c r="F952" s="25" t="n"/>
      <c r="G952" s="28">
        <f>IF(F952="","",(F952-D952))</f>
        <v/>
      </c>
      <c r="H952" s="10">
        <f>IF(F952="","",(F952/D952)-1)</f>
        <v/>
      </c>
      <c r="I952" s="75" t="n">
        <v>2850</v>
      </c>
    </row>
    <row r="953" spans="1:23">
      <c r="A953" s="1" t="n">
        <v>42830</v>
      </c>
      <c r="B953" s="25" t="n">
        <v>2869.32</v>
      </c>
      <c r="C953" s="1" t="n">
        <v>43195</v>
      </c>
      <c r="D953" s="25" t="n">
        <v>2791.57</v>
      </c>
      <c r="E953" s="1" t="n">
        <v>43560</v>
      </c>
      <c r="F953" s="25" t="n"/>
      <c r="G953" s="28">
        <f>IF(F953="","",(F953-D953))</f>
        <v/>
      </c>
      <c r="H953" s="10">
        <f>IF(F953="","",(F953/D953)-1)</f>
        <v/>
      </c>
      <c r="I953" s="75" t="n">
        <v>2850</v>
      </c>
    </row>
    <row r="954" spans="1:23">
      <c r="A954" s="1" t="n">
        <v>42831</v>
      </c>
      <c r="B954" s="25" t="n">
        <v>2857.65</v>
      </c>
      <c r="C954" s="1" t="n">
        <v>43196</v>
      </c>
      <c r="D954" s="25" t="n">
        <v>2787.36</v>
      </c>
      <c r="E954" s="1" t="n">
        <v>43561</v>
      </c>
      <c r="F954" s="25" t="n"/>
      <c r="G954" s="28">
        <f>IF(F954="","",(F954-D954))</f>
        <v/>
      </c>
      <c r="H954" s="10">
        <f>IF(F954="","",(F954/D954)-1)</f>
        <v/>
      </c>
      <c r="I954" s="75" t="n">
        <v>2850</v>
      </c>
    </row>
    <row r="955" spans="1:23">
      <c r="A955" s="1" t="n">
        <v>42832</v>
      </c>
      <c r="B955" s="25" t="n">
        <v>2853.1</v>
      </c>
      <c r="C955" s="1" t="n">
        <v>43197</v>
      </c>
      <c r="D955" s="25" t="n">
        <v>2791.88</v>
      </c>
      <c r="E955" s="1" t="n">
        <v>43562</v>
      </c>
      <c r="F955" s="25" t="n"/>
      <c r="G955" s="28">
        <f>IF(F955="","",(F955-D955))</f>
        <v/>
      </c>
      <c r="H955" s="10">
        <f>IF(F955="","",(F955/D955)-1)</f>
        <v/>
      </c>
      <c r="I955" s="75" t="n">
        <v>2850</v>
      </c>
    </row>
    <row r="956" spans="1:23">
      <c r="A956" s="1" t="n">
        <v>42833</v>
      </c>
      <c r="B956" s="25" t="n">
        <v>2858</v>
      </c>
      <c r="C956" s="1" t="n">
        <v>43198</v>
      </c>
      <c r="D956" s="25" t="n">
        <v>2791.88</v>
      </c>
      <c r="E956" s="1" t="n">
        <v>43563</v>
      </c>
      <c r="F956" s="25" t="n"/>
      <c r="G956" s="28">
        <f>IF(F956="","",(F956-D956))</f>
        <v/>
      </c>
      <c r="H956" s="10">
        <f>IF(F956="","",(F956/D956)-1)</f>
        <v/>
      </c>
      <c r="I956" s="75" t="n">
        <v>2850</v>
      </c>
    </row>
    <row r="957" spans="1:23">
      <c r="A957" s="1" t="n">
        <v>42834</v>
      </c>
      <c r="B957" s="25" t="n">
        <v>2858</v>
      </c>
      <c r="C957" s="1" t="n">
        <v>43199</v>
      </c>
      <c r="D957" s="25" t="n">
        <v>2791.88</v>
      </c>
      <c r="E957" s="1" t="n">
        <v>43564</v>
      </c>
      <c r="F957" s="25" t="n"/>
      <c r="G957" s="28">
        <f>IF(F957="","",(F957-D957))</f>
        <v/>
      </c>
      <c r="H957" s="10">
        <f>IF(F957="","",(F957/D957)-1)</f>
        <v/>
      </c>
      <c r="I957" s="75" t="n">
        <v>2850</v>
      </c>
    </row>
    <row r="958" spans="1:23">
      <c r="A958" s="1" t="n">
        <v>42835</v>
      </c>
      <c r="B958" s="25" t="n">
        <v>2858</v>
      </c>
      <c r="C958" s="1" t="n">
        <v>43200</v>
      </c>
      <c r="D958" s="25" t="n">
        <v>2781.95</v>
      </c>
      <c r="E958" s="1" t="n">
        <v>43565</v>
      </c>
      <c r="F958" s="25" t="n"/>
      <c r="G958" s="28">
        <f>IF(F958="","",(F958-D958))</f>
        <v/>
      </c>
      <c r="H958" s="10">
        <f>IF(F958="","",(F958/D958)-1)</f>
        <v/>
      </c>
      <c r="I958" s="75" t="n">
        <v>2850</v>
      </c>
    </row>
    <row r="959" spans="1:23">
      <c r="A959" s="1" t="n">
        <v>42836</v>
      </c>
      <c r="B959" s="25" t="n">
        <v>2867.13</v>
      </c>
      <c r="C959" s="1" t="n">
        <v>43201</v>
      </c>
      <c r="D959" s="25" t="n">
        <v>2767.82</v>
      </c>
      <c r="E959" s="1" t="n">
        <v>43566</v>
      </c>
      <c r="F959" s="25" t="n"/>
      <c r="G959" s="28">
        <f>IF(F959="","",(F959-D959))</f>
        <v/>
      </c>
      <c r="H959" s="10">
        <f>IF(F959="","",(F959/D959)-1)</f>
        <v/>
      </c>
      <c r="I959" s="75" t="n">
        <v>2850</v>
      </c>
    </row>
    <row r="960" spans="1:23">
      <c r="A960" s="1" t="n">
        <v>42837</v>
      </c>
      <c r="B960" s="25" t="n">
        <v>2868.6</v>
      </c>
      <c r="C960" s="1" t="n">
        <v>43202</v>
      </c>
      <c r="D960" s="25" t="n">
        <v>2733.24</v>
      </c>
      <c r="E960" s="1" t="n">
        <v>43567</v>
      </c>
      <c r="F960" s="25" t="n"/>
      <c r="G960" s="28">
        <f>IF(F960="","",(F960-D960))</f>
        <v/>
      </c>
      <c r="H960" s="10">
        <f>IF(F960="","",(F960/D960)-1)</f>
        <v/>
      </c>
      <c r="I960" s="75" t="n">
        <v>2850</v>
      </c>
    </row>
    <row r="961" spans="1:23">
      <c r="A961" s="1" t="n">
        <v>42838</v>
      </c>
      <c r="B961" s="25" t="n">
        <v>2872.55</v>
      </c>
      <c r="C961" s="1" t="n">
        <v>43203</v>
      </c>
      <c r="D961" s="25" t="n">
        <v>2710.03</v>
      </c>
      <c r="E961" s="1" t="n">
        <v>43568</v>
      </c>
      <c r="F961" s="25" t="n"/>
      <c r="G961" s="28">
        <f>IF(F961="","",(F961-D961))</f>
        <v/>
      </c>
      <c r="H961" s="10">
        <f>IF(F961="","",(F961/D961)-1)</f>
        <v/>
      </c>
      <c r="I961" s="75" t="n">
        <v>2850</v>
      </c>
    </row>
    <row r="962" spans="1:23">
      <c r="A962" s="1" t="n">
        <v>42839</v>
      </c>
      <c r="B962" s="25" t="n">
        <v>2872.55</v>
      </c>
      <c r="C962" s="1" t="n">
        <v>43204</v>
      </c>
      <c r="D962" s="25" t="n">
        <v>2705.34</v>
      </c>
      <c r="E962" s="1" t="n">
        <v>43569</v>
      </c>
      <c r="F962" s="25" t="n"/>
      <c r="G962" s="28">
        <f>IF(F962="","",(F962-D962))</f>
        <v/>
      </c>
      <c r="H962" s="10">
        <f>IF(F962="","",(F962/D962)-1)</f>
        <v/>
      </c>
      <c r="I962" s="75" t="n">
        <v>2850</v>
      </c>
    </row>
    <row r="963" spans="1:23">
      <c r="A963" s="1" t="n">
        <v>42840</v>
      </c>
      <c r="B963" s="25" t="n">
        <v>2872.55</v>
      </c>
      <c r="C963" s="1" t="n">
        <v>43205</v>
      </c>
      <c r="D963" s="25" t="n">
        <v>2705.34</v>
      </c>
      <c r="E963" s="1" t="n">
        <v>43570</v>
      </c>
      <c r="F963" s="25" t="n"/>
      <c r="G963" s="28">
        <f>IF(F963="","",(F963-D963))</f>
        <v/>
      </c>
      <c r="H963" s="10">
        <f>IF(F963="","",(F963/D963)-1)</f>
        <v/>
      </c>
      <c r="I963" s="75" t="n">
        <v>2850</v>
      </c>
    </row>
    <row r="964" spans="1:23">
      <c r="A964" s="1" t="n">
        <v>42841</v>
      </c>
      <c r="B964" s="25" t="n">
        <v>2872.55</v>
      </c>
      <c r="C964" s="1" t="n">
        <v>43206</v>
      </c>
      <c r="D964" s="25" t="n">
        <v>2705.34</v>
      </c>
      <c r="E964" s="1" t="n">
        <v>43571</v>
      </c>
      <c r="F964" s="25" t="n"/>
      <c r="G964" s="28">
        <f>IF(F964="","",(F964-D964))</f>
        <v/>
      </c>
      <c r="H964" s="10">
        <f>IF(F964="","",(F964/D964)-1)</f>
        <v/>
      </c>
      <c r="I964" s="75" t="n">
        <v>2850</v>
      </c>
    </row>
    <row r="965" spans="1:23">
      <c r="A965" s="1" t="n">
        <v>42842</v>
      </c>
      <c r="B965" s="25" t="n">
        <v>2872.55</v>
      </c>
      <c r="C965" s="1" t="n">
        <v>43207</v>
      </c>
      <c r="D965" s="25" t="n">
        <v>2726.47</v>
      </c>
      <c r="E965" s="1" t="n">
        <v>43572</v>
      </c>
      <c r="F965" s="25" t="n"/>
      <c r="G965" s="28">
        <f>IF(F965="","",(F965-D965))</f>
        <v/>
      </c>
      <c r="H965" s="10">
        <f>IF(F965="","",(F965/D965)-1)</f>
        <v/>
      </c>
      <c r="I965" s="75" t="n">
        <v>2850</v>
      </c>
    </row>
    <row r="966" spans="1:23">
      <c r="A966" s="1" t="n">
        <v>42843</v>
      </c>
      <c r="B966" s="25" t="n">
        <v>2854.89</v>
      </c>
      <c r="C966" s="1" t="n">
        <v>43208</v>
      </c>
      <c r="D966" s="25" t="n">
        <v>2725.66</v>
      </c>
      <c r="E966" s="1" t="n">
        <v>43573</v>
      </c>
      <c r="F966" s="25" t="n"/>
      <c r="G966" s="28">
        <f>IF(F966="","",(F966-D966))</f>
        <v/>
      </c>
      <c r="H966" s="10">
        <f>IF(F966="","",(F966/D966)-1)</f>
        <v/>
      </c>
      <c r="I966" s="75" t="n">
        <v>2850</v>
      </c>
    </row>
    <row r="967" spans="1:23">
      <c r="A967" s="1" t="n">
        <v>42844</v>
      </c>
      <c r="B967" s="25" t="n">
        <v>2837.9</v>
      </c>
      <c r="C967" s="1" t="n">
        <v>43209</v>
      </c>
      <c r="D967" s="25" t="n">
        <v>2705.64</v>
      </c>
      <c r="E967" s="1" t="n">
        <v>43574</v>
      </c>
      <c r="F967" s="25" t="n"/>
      <c r="G967" s="28">
        <f>IF(F967="","",(F967-D967))</f>
        <v/>
      </c>
      <c r="H967" s="10">
        <f>IF(F967="","",(F967/D967)-1)</f>
        <v/>
      </c>
      <c r="I967" s="75" t="n">
        <v>2850</v>
      </c>
    </row>
    <row r="968" spans="1:23">
      <c r="A968" s="1" t="n">
        <v>42845</v>
      </c>
      <c r="B968" s="25" t="n">
        <v>2856.48</v>
      </c>
      <c r="C968" s="1" t="n">
        <v>43210</v>
      </c>
      <c r="D968" s="25" t="n">
        <v>2724.47</v>
      </c>
      <c r="E968" s="1" t="n">
        <v>43575</v>
      </c>
      <c r="F968" s="25" t="n"/>
      <c r="G968" s="28">
        <f>IF(F968="","",(F968-D968))</f>
        <v/>
      </c>
      <c r="H968" s="10">
        <f>IF(F968="","",(F968/D968)-1)</f>
        <v/>
      </c>
      <c r="I968" s="75" t="n">
        <v>2850</v>
      </c>
    </row>
    <row r="969" spans="1:23">
      <c r="A969" s="1" t="n">
        <v>42846</v>
      </c>
      <c r="B969" s="25" t="n">
        <v>2863.39</v>
      </c>
      <c r="C969" s="1" t="n">
        <v>43211</v>
      </c>
      <c r="D969" s="25" t="n">
        <v>2757.96</v>
      </c>
      <c r="E969" s="1" t="n">
        <v>43576</v>
      </c>
      <c r="F969" s="25" t="n"/>
      <c r="G969" s="28">
        <f>IF(F969="","",(F969-D969))</f>
        <v/>
      </c>
      <c r="H969" s="10">
        <f>IF(F969="","",(F969/D969)-1)</f>
        <v/>
      </c>
      <c r="I969" s="75" t="n">
        <v>2850</v>
      </c>
    </row>
    <row r="970" spans="1:23">
      <c r="A970" s="1" t="n">
        <v>42847</v>
      </c>
      <c r="B970" s="25" t="n">
        <v>2868.89</v>
      </c>
      <c r="C970" s="1" t="n">
        <v>43212</v>
      </c>
      <c r="D970" s="25" t="n">
        <v>2757.96</v>
      </c>
      <c r="E970" s="1" t="n">
        <v>43577</v>
      </c>
      <c r="F970" s="25" t="n"/>
      <c r="G970" s="28">
        <f>IF(F970="","",(F970-D970))</f>
        <v/>
      </c>
      <c r="H970" s="10">
        <f>IF(F970="","",(F970/D970)-1)</f>
        <v/>
      </c>
      <c r="I970" s="75" t="n">
        <v>2850</v>
      </c>
    </row>
    <row r="971" spans="1:23">
      <c r="A971" s="1" t="n">
        <v>42848</v>
      </c>
      <c r="B971" s="25" t="n">
        <v>2868.89</v>
      </c>
      <c r="C971" s="1" t="n">
        <v>43213</v>
      </c>
      <c r="D971" s="25" t="n">
        <v>2757.96</v>
      </c>
      <c r="E971" s="1" t="n">
        <v>43578</v>
      </c>
      <c r="F971" s="25" t="n"/>
      <c r="G971" s="28">
        <f>IF(F971="","",(F971-D971))</f>
        <v/>
      </c>
      <c r="H971" s="10">
        <f>IF(F971="","",(F971/D971)-1)</f>
        <v/>
      </c>
      <c r="I971" s="75" t="n">
        <v>2850</v>
      </c>
    </row>
    <row r="972" spans="1:23">
      <c r="A972" s="1" t="n">
        <v>42849</v>
      </c>
      <c r="B972" s="25" t="n">
        <v>2868.89</v>
      </c>
      <c r="C972" s="1" t="n">
        <v>43214</v>
      </c>
      <c r="D972" s="25" t="n">
        <v>2799.45</v>
      </c>
      <c r="E972" s="1" t="n">
        <v>43579</v>
      </c>
      <c r="F972" s="25" t="n"/>
      <c r="G972" s="28">
        <f>IF(F972="","",(F972-D972))</f>
        <v/>
      </c>
      <c r="H972" s="10">
        <f>IF(F972="","",(F972/D972)-1)</f>
        <v/>
      </c>
      <c r="I972" s="75" t="n">
        <v>2850</v>
      </c>
    </row>
    <row r="973" spans="1:23">
      <c r="A973" s="1" t="n">
        <v>42850</v>
      </c>
      <c r="B973" s="25" t="n">
        <v>2871.98</v>
      </c>
      <c r="C973" s="1" t="n">
        <v>43215</v>
      </c>
      <c r="D973" s="25" t="n">
        <v>2785.22</v>
      </c>
      <c r="E973" s="1" t="n">
        <v>43580</v>
      </c>
      <c r="F973" s="25" t="n"/>
      <c r="G973" s="28">
        <f>IF(F973="","",(F973-D973))</f>
        <v/>
      </c>
      <c r="H973" s="10">
        <f>IF(F973="","",(F973/D973)-1)</f>
        <v/>
      </c>
      <c r="I973" s="75" t="n">
        <v>2850</v>
      </c>
    </row>
    <row r="974" spans="1:23">
      <c r="A974" s="1" t="n">
        <v>42851</v>
      </c>
      <c r="B974" s="25" t="n">
        <v>2899.13</v>
      </c>
      <c r="C974" s="1" t="n">
        <v>43216</v>
      </c>
      <c r="D974" s="25" t="n">
        <v>2820.29</v>
      </c>
      <c r="E974" s="1" t="n">
        <v>43581</v>
      </c>
      <c r="F974" s="25" t="n"/>
      <c r="G974" s="28">
        <f>IF(F974="","",(F974-D974))</f>
        <v/>
      </c>
      <c r="H974" s="10">
        <f>IF(F974="","",(F974/D974)-1)</f>
        <v/>
      </c>
      <c r="I974" s="75" t="n">
        <v>2850</v>
      </c>
    </row>
    <row r="975" spans="1:23">
      <c r="A975" s="1" t="n">
        <v>42852</v>
      </c>
      <c r="B975" s="25" t="n">
        <v>2928.07</v>
      </c>
      <c r="C975" s="1" t="n">
        <v>43217</v>
      </c>
      <c r="D975" s="25" t="n">
        <v>2812.83</v>
      </c>
      <c r="E975" s="1" t="n">
        <v>43582</v>
      </c>
      <c r="F975" s="25" t="n"/>
      <c r="G975" s="28">
        <f>IF(F975="","",(F975-D975))</f>
        <v/>
      </c>
      <c r="H975" s="10">
        <f>IF(F975="","",(F975/D975)-1)</f>
        <v/>
      </c>
      <c r="I975" s="75" t="n">
        <v>2850</v>
      </c>
    </row>
    <row r="976" spans="1:23">
      <c r="A976" s="1" t="n">
        <v>42853</v>
      </c>
      <c r="B976" s="25" t="n">
        <v>2944.31</v>
      </c>
      <c r="C976" s="1" t="n">
        <v>43218</v>
      </c>
      <c r="D976" s="25" t="n">
        <v>2806.28</v>
      </c>
      <c r="E976" s="1" t="n">
        <v>43583</v>
      </c>
      <c r="F976" s="25" t="n"/>
      <c r="G976" s="28">
        <f>IF(F976="","",(F976-D976))</f>
        <v/>
      </c>
      <c r="H976" s="10">
        <f>IF(F976="","",(F976/D976)-1)</f>
        <v/>
      </c>
      <c r="I976" s="75" t="n">
        <v>2850</v>
      </c>
    </row>
    <row r="977" spans="1:23">
      <c r="A977" s="1" t="n">
        <v>42854</v>
      </c>
      <c r="B977" s="25" t="n">
        <v>2947.85</v>
      </c>
      <c r="C977" s="1" t="n">
        <v>43219</v>
      </c>
      <c r="D977" s="25" t="n">
        <v>2806.28</v>
      </c>
      <c r="E977" s="1" t="n">
        <v>43584</v>
      </c>
      <c r="F977" s="25" t="n"/>
      <c r="G977" s="28">
        <f>IF(F977="","",(F977-D977))</f>
        <v/>
      </c>
      <c r="H977" s="10">
        <f>IF(F977="","",(F977/D977)-1)</f>
        <v/>
      </c>
      <c r="I977" s="75" t="n">
        <v>2850</v>
      </c>
    </row>
    <row r="978" spans="1:23">
      <c r="A978" s="1" t="n">
        <v>42855</v>
      </c>
      <c r="B978" s="25" t="n">
        <v>2947.85</v>
      </c>
      <c r="C978" s="1" t="n">
        <v>43220</v>
      </c>
      <c r="D978" s="25" t="n">
        <v>2806.28</v>
      </c>
      <c r="E978" s="1" t="n">
        <v>43585</v>
      </c>
      <c r="F978" s="25" t="n"/>
      <c r="G978" s="28">
        <f>IF(F978="","",(F978-D978))</f>
        <v/>
      </c>
      <c r="H978" s="10">
        <f>IF(F978="","",(F978/D978)-1)</f>
        <v/>
      </c>
      <c r="I978" s="75" t="n">
        <v>2850</v>
      </c>
    </row>
    <row r="979" spans="1:23">
      <c r="A979" s="1" t="n">
        <v>42856</v>
      </c>
      <c r="B979" s="25" t="n">
        <v>2947.85</v>
      </c>
      <c r="C979" s="1" t="n">
        <v>43221</v>
      </c>
      <c r="D979" s="25" t="n">
        <v>2809.92</v>
      </c>
      <c r="E979" s="1" t="n">
        <v>43586</v>
      </c>
      <c r="F979" s="25" t="n"/>
      <c r="G979" s="28">
        <f>IF(F979="","",(F979-D979))</f>
        <v/>
      </c>
      <c r="H979" s="10">
        <f>IF(F979="","",(F979/D979)-1)</f>
        <v/>
      </c>
      <c r="I979" s="75" t="n">
        <v>2850</v>
      </c>
    </row>
    <row r="980" spans="1:23">
      <c r="A980" s="1" t="n">
        <v>42857</v>
      </c>
      <c r="B980" s="25" t="n">
        <v>2947.85</v>
      </c>
      <c r="C980" s="1" t="n">
        <v>43222</v>
      </c>
      <c r="D980" s="25" t="n">
        <v>2809.92</v>
      </c>
      <c r="E980" s="1" t="n">
        <v>43587</v>
      </c>
      <c r="F980" s="25" t="n"/>
      <c r="G980" s="28">
        <f>IF(F980="","",(F980-D980))</f>
        <v/>
      </c>
      <c r="H980" s="10">
        <f>IF(F980="","",(F980/D980)-1)</f>
        <v/>
      </c>
      <c r="I980" s="75" t="n">
        <v>2850</v>
      </c>
    </row>
    <row r="981" spans="1:23">
      <c r="A981" s="1" t="n">
        <v>42858</v>
      </c>
      <c r="B981" s="25" t="n">
        <v>2945.53</v>
      </c>
      <c r="C981" s="1" t="n">
        <v>43223</v>
      </c>
      <c r="D981" s="25" t="n">
        <v>2831.99</v>
      </c>
      <c r="E981" s="1" t="n">
        <v>43588</v>
      </c>
      <c r="F981" s="25" t="n"/>
      <c r="G981" s="28">
        <f>IF(F981="","",(F981-D981))</f>
        <v/>
      </c>
      <c r="H981" s="10">
        <f>IF(F981="","",(F981/D981)-1)</f>
        <v/>
      </c>
      <c r="I981" s="75" t="n">
        <v>2850</v>
      </c>
    </row>
    <row r="982" spans="1:23">
      <c r="A982" s="1" t="n">
        <v>42859</v>
      </c>
      <c r="B982" s="25" t="n">
        <v>2930.17</v>
      </c>
      <c r="C982" s="1" t="n">
        <v>43224</v>
      </c>
      <c r="D982" s="25" t="n">
        <v>2857.85</v>
      </c>
      <c r="E982" s="1" t="n">
        <v>43589</v>
      </c>
      <c r="F982" s="25" t="n"/>
      <c r="G982" s="28">
        <f>IF(F982="","",(F982-D982))</f>
        <v/>
      </c>
      <c r="H982" s="10">
        <f>IF(F982="","",(F982/D982)-1)</f>
        <v/>
      </c>
      <c r="I982" s="75" t="n">
        <v>2850</v>
      </c>
    </row>
    <row r="983" spans="1:23">
      <c r="A983" s="1" t="n">
        <v>42860</v>
      </c>
      <c r="B983" s="25" t="n">
        <v>2967.44</v>
      </c>
      <c r="C983" s="1" t="n">
        <v>43225</v>
      </c>
      <c r="D983" s="25" t="n">
        <v>2843.41</v>
      </c>
      <c r="E983" s="1" t="n">
        <v>43590</v>
      </c>
      <c r="F983" s="25" t="n"/>
      <c r="G983" s="28">
        <f>IF(F983="","",(F983-D983))</f>
        <v/>
      </c>
      <c r="H983" s="10">
        <f>IF(F983="","",(F983/D983)-1)</f>
        <v/>
      </c>
      <c r="I983" s="75" t="n">
        <v>2850</v>
      </c>
    </row>
    <row r="984" spans="1:23">
      <c r="A984" s="1" t="n">
        <v>42861</v>
      </c>
      <c r="B984" s="25" t="n">
        <v>2961.78</v>
      </c>
      <c r="C984" s="1" t="n">
        <v>43226</v>
      </c>
      <c r="D984" s="25" t="n">
        <v>2843.41</v>
      </c>
      <c r="E984" s="1" t="n">
        <v>43591</v>
      </c>
      <c r="F984" s="25" t="n"/>
      <c r="G984" s="28">
        <f>IF(F984="","",(F984-D984))</f>
        <v/>
      </c>
      <c r="H984" s="10">
        <f>IF(F984="","",(F984/D984)-1)</f>
        <v/>
      </c>
      <c r="I984" s="75" t="n">
        <v>2850</v>
      </c>
    </row>
    <row r="985" spans="1:23">
      <c r="A985" s="1" t="n">
        <v>42862</v>
      </c>
      <c r="B985" s="25" t="n">
        <v>2961.78</v>
      </c>
      <c r="C985" s="1" t="n">
        <v>43227</v>
      </c>
      <c r="D985" s="25" t="n">
        <v>2843.41</v>
      </c>
      <c r="E985" s="1" t="n">
        <v>43592</v>
      </c>
      <c r="F985" s="25" t="n"/>
      <c r="G985" s="28">
        <f>IF(F985="","",(F985-D985))</f>
        <v/>
      </c>
      <c r="H985" s="10">
        <f>IF(F985="","",(F985/D985)-1)</f>
        <v/>
      </c>
      <c r="I985" s="75" t="n">
        <v>2850</v>
      </c>
    </row>
    <row r="986" spans="1:23">
      <c r="A986" s="1" t="n">
        <v>42863</v>
      </c>
      <c r="B986" s="25" t="n">
        <v>2961.78</v>
      </c>
      <c r="C986" s="1" t="n">
        <v>43228</v>
      </c>
      <c r="D986" s="25" t="n">
        <v>2817.2</v>
      </c>
      <c r="E986" s="1" t="n">
        <v>43593</v>
      </c>
      <c r="F986" s="25" t="n"/>
      <c r="G986" s="28">
        <f>IF(F986="","",(F986-D986))</f>
        <v/>
      </c>
      <c r="H986" s="10">
        <f>IF(F986="","",(F986/D986)-1)</f>
        <v/>
      </c>
      <c r="I986" s="75" t="n">
        <v>2850</v>
      </c>
    </row>
    <row r="987" spans="1:23">
      <c r="A987" s="1" t="n">
        <v>42864</v>
      </c>
      <c r="B987" s="25" t="n">
        <v>2959.26</v>
      </c>
      <c r="C987" s="1" t="n">
        <v>43229</v>
      </c>
      <c r="D987" s="25" t="n">
        <v>2866</v>
      </c>
      <c r="E987" s="1" t="n">
        <v>43594</v>
      </c>
      <c r="F987" s="25" t="n"/>
      <c r="G987" s="28">
        <f>IF(F987="","",(F987-D987))</f>
        <v/>
      </c>
      <c r="H987" s="10">
        <f>IF(F987="","",(F987/D987)-1)</f>
        <v/>
      </c>
      <c r="I987" s="75" t="n">
        <v>2850</v>
      </c>
    </row>
    <row r="988" spans="1:23">
      <c r="A988" s="1" t="n">
        <v>42865</v>
      </c>
      <c r="B988" s="25" t="n">
        <v>2967.24</v>
      </c>
      <c r="C988" s="1" t="n">
        <v>43230</v>
      </c>
      <c r="D988" s="25" t="n">
        <v>2859.51</v>
      </c>
      <c r="E988" s="1" t="n">
        <v>43595</v>
      </c>
      <c r="F988" s="25" t="n"/>
      <c r="G988" s="28">
        <f>IF(F988="","",(F988-D988))</f>
        <v/>
      </c>
      <c r="H988" s="10">
        <f>IF(F988="","",(F988/D988)-1)</f>
        <v/>
      </c>
      <c r="I988" s="75" t="n">
        <v>2850</v>
      </c>
    </row>
    <row r="989" spans="1:23">
      <c r="A989" s="1" t="n">
        <v>42866</v>
      </c>
      <c r="B989" s="25" t="n">
        <v>2949.35</v>
      </c>
      <c r="C989" s="1" t="n">
        <v>43231</v>
      </c>
      <c r="D989" s="25" t="n">
        <v>2822.37</v>
      </c>
      <c r="E989" s="1" t="n">
        <v>43596</v>
      </c>
      <c r="F989" s="25" t="n"/>
      <c r="G989" s="28">
        <f>IF(F989="","",(F989-D989))</f>
        <v/>
      </c>
      <c r="H989" s="10">
        <f>IF(F989="","",(F989/D989)-1)</f>
        <v/>
      </c>
      <c r="I989" s="75" t="n">
        <v>2850</v>
      </c>
    </row>
    <row r="990" spans="1:23">
      <c r="A990" s="1" t="n">
        <v>42867</v>
      </c>
      <c r="B990" s="25" t="n">
        <v>2933.92</v>
      </c>
      <c r="C990" s="1" t="n">
        <v>43232</v>
      </c>
      <c r="D990" s="25" t="n">
        <v>2824.05</v>
      </c>
      <c r="E990" s="1" t="n">
        <v>43597</v>
      </c>
      <c r="F990" s="25" t="n"/>
      <c r="G990" s="28">
        <f>IF(F990="","",(F990-D990))</f>
        <v/>
      </c>
      <c r="H990" s="10">
        <f>IF(F990="","",(F990/D990)-1)</f>
        <v/>
      </c>
      <c r="I990" s="75" t="n">
        <v>2850</v>
      </c>
    </row>
    <row r="991" spans="1:23">
      <c r="A991" s="1" t="n">
        <v>42868</v>
      </c>
      <c r="B991" s="25" t="n">
        <v>2918.69</v>
      </c>
      <c r="C991" s="1" t="n">
        <v>43233</v>
      </c>
      <c r="D991" s="25" t="n">
        <v>2824.05</v>
      </c>
      <c r="E991" s="1" t="n">
        <v>43598</v>
      </c>
      <c r="F991" s="25" t="n"/>
      <c r="G991" s="28">
        <f>IF(F991="","",(F991-D991))</f>
        <v/>
      </c>
      <c r="H991" s="10">
        <f>IF(F991="","",(F991/D991)-1)</f>
        <v/>
      </c>
      <c r="I991" s="75" t="n">
        <v>2850</v>
      </c>
    </row>
    <row r="992" spans="1:23">
      <c r="A992" s="1" t="n">
        <v>42869</v>
      </c>
      <c r="B992" s="25" t="n">
        <v>2918.69</v>
      </c>
      <c r="C992" s="1" t="n">
        <v>43234</v>
      </c>
      <c r="D992" s="25" t="n">
        <v>2824.05</v>
      </c>
      <c r="E992" s="1" t="n">
        <v>43599</v>
      </c>
      <c r="F992" s="25" t="n"/>
      <c r="G992" s="28">
        <f>IF(F992="","",(F992-D992))</f>
        <v/>
      </c>
      <c r="H992" s="10">
        <f>IF(F992="","",(F992/D992)-1)</f>
        <v/>
      </c>
      <c r="I992" s="75" t="n">
        <v>2850</v>
      </c>
    </row>
    <row r="993" spans="1:23">
      <c r="A993" s="1" t="n">
        <v>42870</v>
      </c>
      <c r="B993" s="25" t="n">
        <v>2918.69</v>
      </c>
      <c r="C993" s="1" t="n">
        <v>43235</v>
      </c>
      <c r="D993" s="25" t="n">
        <v>2824.05</v>
      </c>
      <c r="E993" s="1" t="n">
        <v>43600</v>
      </c>
      <c r="F993" s="25" t="n"/>
      <c r="G993" s="28">
        <f>IF(F993="","",(F993-D993))</f>
        <v/>
      </c>
      <c r="H993" s="10">
        <f>IF(F993="","",(F993/D993)-1)</f>
        <v/>
      </c>
      <c r="I993" s="75" t="n">
        <v>2850</v>
      </c>
    </row>
    <row r="994" spans="1:23">
      <c r="A994" s="1" t="n">
        <v>42871</v>
      </c>
      <c r="B994" s="25" t="n">
        <v>2883.87</v>
      </c>
      <c r="C994" s="1" t="n">
        <v>43236</v>
      </c>
      <c r="D994" s="25" t="n">
        <v>2889.87</v>
      </c>
      <c r="E994" s="1" t="n">
        <v>43601</v>
      </c>
      <c r="F994" s="25" t="n"/>
      <c r="G994" s="28">
        <f>IF(F994="","",(F994-D994))</f>
        <v/>
      </c>
      <c r="H994" s="10">
        <f>IF(F994="","",(F994/D994)-1)</f>
        <v/>
      </c>
      <c r="I994" s="75" t="n">
        <v>2850</v>
      </c>
    </row>
    <row r="995" spans="1:23">
      <c r="A995" s="1" t="n">
        <v>42872</v>
      </c>
      <c r="B995" s="25" t="n">
        <v>2873.22</v>
      </c>
      <c r="C995" s="1" t="n">
        <v>43237</v>
      </c>
      <c r="D995" s="25" t="n">
        <v>2865.37</v>
      </c>
      <c r="E995" s="1" t="n">
        <v>43602</v>
      </c>
      <c r="F995" s="25" t="n"/>
      <c r="G995" s="28">
        <f>IF(F995="","",(F995-D995))</f>
        <v/>
      </c>
      <c r="H995" s="10">
        <f>IF(F995="","",(F995/D995)-1)</f>
        <v/>
      </c>
      <c r="I995" s="75" t="n">
        <v>2850</v>
      </c>
    </row>
    <row r="996" spans="1:23">
      <c r="A996" s="1" t="n">
        <v>42873</v>
      </c>
      <c r="B996" s="25" t="n">
        <v>2893.4</v>
      </c>
      <c r="C996" s="1" t="n">
        <v>43238</v>
      </c>
      <c r="D996" s="25" t="n">
        <v>2886.23</v>
      </c>
      <c r="E996" s="1" t="n">
        <v>43603</v>
      </c>
      <c r="F996" s="25" t="n"/>
      <c r="G996" s="28">
        <f>IF(F996="","",(F996-D996))</f>
        <v/>
      </c>
      <c r="H996" s="10">
        <f>IF(F996="","",(F996/D996)-1)</f>
        <v/>
      </c>
      <c r="I996" s="75" t="n">
        <v>2850</v>
      </c>
    </row>
    <row r="997" spans="1:23">
      <c r="A997" s="1" t="n">
        <v>42874</v>
      </c>
      <c r="B997" s="25" t="n">
        <v>2932.16</v>
      </c>
      <c r="C997" s="1" t="n">
        <v>43239</v>
      </c>
      <c r="D997" s="25" t="n">
        <v>2925.67</v>
      </c>
      <c r="E997" s="1" t="n">
        <v>43604</v>
      </c>
      <c r="F997" s="25" t="n"/>
      <c r="G997" s="28">
        <f>IF(F997="","",(F997-D997))</f>
        <v/>
      </c>
      <c r="H997" s="10">
        <f>IF(F997="","",(F997/D997)-1)</f>
        <v/>
      </c>
      <c r="I997" s="75" t="n">
        <v>2850</v>
      </c>
    </row>
    <row r="998" spans="1:23">
      <c r="A998" s="1" t="n">
        <v>42875</v>
      </c>
      <c r="B998" s="25" t="n">
        <v>2889.45</v>
      </c>
      <c r="C998" s="1" t="n">
        <v>43240</v>
      </c>
      <c r="D998" s="25" t="n">
        <v>2925.67</v>
      </c>
      <c r="E998" s="1" t="n">
        <v>43605</v>
      </c>
      <c r="F998" s="25" t="n"/>
      <c r="G998" s="28">
        <f>IF(F998="","",(F998-D998))</f>
        <v/>
      </c>
      <c r="H998" s="10">
        <f>IF(F998="","",(F998/D998)-1)</f>
        <v/>
      </c>
      <c r="I998" s="75" t="n">
        <v>2850</v>
      </c>
    </row>
    <row r="999" spans="1:23">
      <c r="A999" s="1" t="n">
        <v>42876</v>
      </c>
      <c r="B999" s="25" t="n">
        <v>2889.45</v>
      </c>
      <c r="C999" s="1" t="n">
        <v>43241</v>
      </c>
      <c r="D999" s="25" t="n">
        <v>2925.67</v>
      </c>
      <c r="E999" s="1" t="n">
        <v>43606</v>
      </c>
      <c r="F999" s="25" t="n"/>
      <c r="G999" s="28">
        <f>IF(F999="","",(F999-D999))</f>
        <v/>
      </c>
      <c r="H999" s="10">
        <f>IF(F999="","",(F999/D999)-1)</f>
        <v/>
      </c>
      <c r="I999" s="75" t="n">
        <v>2850</v>
      </c>
    </row>
    <row r="1000" spans="1:23">
      <c r="A1000" s="1" t="n">
        <v>42877</v>
      </c>
      <c r="B1000" s="25" t="n">
        <v>2889.45</v>
      </c>
      <c r="C1000" s="1" t="n">
        <v>43242</v>
      </c>
      <c r="D1000" s="25" t="n">
        <v>2897.37</v>
      </c>
      <c r="E1000" s="1" t="n">
        <v>43607</v>
      </c>
      <c r="F1000" s="25" t="n"/>
      <c r="G1000" s="28">
        <f>IF(F1000="","",(F1000-D1000))</f>
        <v/>
      </c>
      <c r="H1000" s="10">
        <f>IF(F1000="","",(F1000/D1000)-1)</f>
        <v/>
      </c>
      <c r="I1000" s="75" t="n">
        <v>2850</v>
      </c>
    </row>
    <row r="1001" spans="1:23">
      <c r="A1001" s="1" t="n">
        <v>42878</v>
      </c>
      <c r="B1001" s="25" t="n">
        <v>2895.12</v>
      </c>
      <c r="C1001" s="1" t="n">
        <v>43243</v>
      </c>
      <c r="D1001" s="25" t="n">
        <v>2851.42</v>
      </c>
      <c r="E1001" s="1" t="n">
        <v>43608</v>
      </c>
      <c r="F1001" s="25" t="n"/>
      <c r="G1001" s="28">
        <f>IF(F1001="","",(F1001-D1001))</f>
        <v/>
      </c>
      <c r="H1001" s="10">
        <f>IF(F1001="","",(F1001/D1001)-1)</f>
        <v/>
      </c>
      <c r="I1001" s="75" t="n">
        <v>2850</v>
      </c>
    </row>
    <row r="1002" spans="1:23">
      <c r="A1002" s="1" t="n">
        <v>42879</v>
      </c>
      <c r="B1002" s="25" t="n">
        <v>2904.61</v>
      </c>
      <c r="C1002" s="1" t="n">
        <v>43244</v>
      </c>
      <c r="D1002" s="25" t="n">
        <v>2863.24</v>
      </c>
      <c r="E1002" s="1" t="n">
        <v>43609</v>
      </c>
      <c r="F1002" s="25" t="n"/>
      <c r="G1002" s="28">
        <f>IF(F1002="","",(F1002-D1002))</f>
        <v/>
      </c>
      <c r="H1002" s="10">
        <f>IF(F1002="","",(F1002/D1002)-1)</f>
        <v/>
      </c>
      <c r="I1002" s="75" t="n">
        <v>2850</v>
      </c>
    </row>
    <row r="1003" spans="1:23">
      <c r="A1003" s="1" t="n">
        <v>42880</v>
      </c>
      <c r="B1003" s="25" t="n">
        <v>2905.29</v>
      </c>
      <c r="C1003" s="1" t="n">
        <v>43245</v>
      </c>
      <c r="D1003" s="25" t="n">
        <v>2863.12</v>
      </c>
      <c r="E1003" s="1" t="n">
        <v>43610</v>
      </c>
      <c r="F1003" s="25" t="n"/>
      <c r="G1003" s="28">
        <f>IF(F1003="","",(F1003-D1003))</f>
        <v/>
      </c>
      <c r="H1003" s="10">
        <f>IF(F1003="","",(F1003/D1003)-1)</f>
        <v/>
      </c>
      <c r="I1003" s="75" t="n">
        <v>2850</v>
      </c>
    </row>
    <row r="1004" spans="1:23">
      <c r="A1004" s="1" t="n">
        <v>42881</v>
      </c>
      <c r="B1004" s="25" t="n">
        <v>2911.66</v>
      </c>
      <c r="C1004" s="1" t="n">
        <v>43246</v>
      </c>
      <c r="D1004" s="25" t="n">
        <v>2887.16</v>
      </c>
      <c r="E1004" s="1" t="n">
        <v>43611</v>
      </c>
      <c r="F1004" s="25" t="n"/>
      <c r="G1004" s="28">
        <f>IF(F1004="","",(F1004-D1004))</f>
        <v/>
      </c>
      <c r="H1004" s="10">
        <f>IF(F1004="","",(F1004/D1004)-1)</f>
        <v/>
      </c>
      <c r="I1004" s="75" t="n">
        <v>2850</v>
      </c>
    </row>
    <row r="1005" spans="1:23">
      <c r="A1005" s="1" t="n">
        <v>42882</v>
      </c>
      <c r="B1005" s="25" t="n">
        <v>2913.47</v>
      </c>
      <c r="C1005" s="1" t="n">
        <v>43247</v>
      </c>
      <c r="D1005" s="25" t="n">
        <v>2887.16</v>
      </c>
      <c r="E1005" s="1" t="n">
        <v>43612</v>
      </c>
      <c r="F1005" s="25" t="n"/>
      <c r="G1005" s="28">
        <f>IF(F1005="","",(F1005-D1005))</f>
        <v/>
      </c>
      <c r="H1005" s="10">
        <f>IF(F1005="","",(F1005/D1005)-1)</f>
        <v/>
      </c>
      <c r="I1005" s="75" t="n">
        <v>2850</v>
      </c>
    </row>
    <row r="1006" spans="1:23">
      <c r="A1006" s="1" t="n">
        <v>42883</v>
      </c>
      <c r="B1006" s="25" t="n">
        <v>2913.47</v>
      </c>
      <c r="C1006" s="1" t="n">
        <v>43248</v>
      </c>
      <c r="D1006" s="25" t="n">
        <v>2887.16</v>
      </c>
      <c r="E1006" s="1" t="n">
        <v>43613</v>
      </c>
      <c r="F1006" s="25" t="n"/>
      <c r="G1006" s="28">
        <f>IF(F1006="","",(F1006-D1006))</f>
        <v/>
      </c>
      <c r="H1006" s="10">
        <f>IF(F1006="","",(F1006/D1006)-1)</f>
        <v/>
      </c>
      <c r="I1006" s="75" t="n">
        <v>2850</v>
      </c>
    </row>
    <row r="1007" spans="1:23">
      <c r="A1007" s="1" t="n">
        <v>42884</v>
      </c>
      <c r="B1007" s="25" t="n">
        <v>2913.47</v>
      </c>
      <c r="C1007" s="1" t="n">
        <v>43249</v>
      </c>
      <c r="D1007" s="25" t="n">
        <v>2887.16</v>
      </c>
      <c r="E1007" s="1" t="n">
        <v>43614</v>
      </c>
      <c r="F1007" s="25" t="n"/>
      <c r="G1007" s="28">
        <f>IF(F1007="","",(F1007-D1007))</f>
        <v/>
      </c>
      <c r="H1007" s="10">
        <f>IF(F1007="","",(F1007/D1007)-1)</f>
        <v/>
      </c>
      <c r="I1007" s="75" t="n">
        <v>2850</v>
      </c>
    </row>
    <row r="1008" spans="1:23">
      <c r="A1008" s="1" t="n">
        <v>42885</v>
      </c>
      <c r="B1008" s="25" t="n">
        <v>2913.47</v>
      </c>
      <c r="C1008" s="1" t="n">
        <v>43250</v>
      </c>
      <c r="D1008" s="25" t="n">
        <v>2893.82</v>
      </c>
      <c r="E1008" s="1" t="n">
        <v>43615</v>
      </c>
      <c r="F1008" s="25" t="n"/>
      <c r="G1008" s="28">
        <f>IF(F1008="","",(F1008-D1008))</f>
        <v/>
      </c>
      <c r="H1008" s="10">
        <f>IF(F1008="","",(F1008/D1008)-1)</f>
        <v/>
      </c>
      <c r="I1008" s="75" t="n">
        <v>2850</v>
      </c>
    </row>
    <row r="1009" spans="1:23">
      <c r="A1009" s="1" t="n">
        <v>42886</v>
      </c>
      <c r="B1009" s="25" t="n">
        <v>2920.42</v>
      </c>
      <c r="C1009" s="1" t="n">
        <v>43251</v>
      </c>
      <c r="D1009" s="25" t="n">
        <v>2879.32</v>
      </c>
      <c r="E1009" s="1" t="n">
        <v>43616</v>
      </c>
      <c r="F1009" s="25" t="n"/>
      <c r="G1009" s="28">
        <f>IF(F1009="","",(F1009-D1009))</f>
        <v/>
      </c>
      <c r="H1009" s="10">
        <f>IF(F1009="","",(F1009/D1009)-1)</f>
        <v/>
      </c>
      <c r="I1009" s="75" t="n">
        <v>2850</v>
      </c>
    </row>
    <row r="1010" spans="1:23">
      <c r="A1010" s="1" t="n">
        <v>42887</v>
      </c>
      <c r="B1010" s="25" t="n">
        <v>2921</v>
      </c>
      <c r="C1010" s="1" t="n">
        <v>43252</v>
      </c>
      <c r="D1010" s="25" t="n">
        <v>2889.32</v>
      </c>
      <c r="E1010" s="1" t="n">
        <v>43617</v>
      </c>
      <c r="F1010" s="25" t="n"/>
      <c r="G1010" s="28">
        <f>IF(F1010="","",(F1010-D1010))</f>
        <v/>
      </c>
      <c r="H1010" s="10">
        <f>IF(F1010="","",(F1010/D1010)-1)</f>
        <v/>
      </c>
      <c r="I1010" s="75" t="n">
        <v>2850</v>
      </c>
    </row>
    <row r="1011" spans="1:23">
      <c r="A1011" s="1" t="n">
        <v>42888</v>
      </c>
      <c r="B1011" s="25" t="n">
        <v>2895.73</v>
      </c>
      <c r="C1011" s="1" t="n">
        <v>43253</v>
      </c>
      <c r="D1011" s="25" t="n">
        <v>2868.22</v>
      </c>
      <c r="E1011" s="1" t="n">
        <v>43618</v>
      </c>
      <c r="F1011" s="25" t="n"/>
      <c r="G1011" s="28">
        <f>IF(F1011="","",(F1011-D1011))</f>
        <v/>
      </c>
      <c r="H1011" s="10">
        <f>IF(F1011="","",(F1011/D1011)-1)</f>
        <v/>
      </c>
      <c r="I1011" s="75" t="n">
        <v>2850</v>
      </c>
    </row>
    <row r="1012" spans="1:23">
      <c r="A1012" s="1" t="n">
        <v>42889</v>
      </c>
      <c r="B1012" s="25" t="n">
        <v>2894.72</v>
      </c>
      <c r="C1012" s="1" t="n">
        <v>43254</v>
      </c>
      <c r="D1012" s="25" t="n">
        <v>2868.22</v>
      </c>
      <c r="E1012" s="1" t="n">
        <v>43619</v>
      </c>
      <c r="F1012" s="25" t="n"/>
      <c r="G1012" s="28">
        <f>IF(F1012="","",(F1012-D1012))</f>
        <v/>
      </c>
      <c r="H1012" s="10">
        <f>IF(F1012="","",(F1012/D1012)-1)</f>
        <v/>
      </c>
      <c r="I1012" s="75" t="n">
        <v>2850</v>
      </c>
    </row>
    <row r="1013" spans="1:23">
      <c r="A1013" s="1" t="n">
        <v>42890</v>
      </c>
      <c r="B1013" s="25" t="n">
        <v>2894.72</v>
      </c>
      <c r="C1013" s="1" t="n">
        <v>43255</v>
      </c>
      <c r="D1013" s="25" t="n">
        <v>2868.22</v>
      </c>
      <c r="E1013" s="1" t="n">
        <v>43620</v>
      </c>
      <c r="F1013" s="25" t="n"/>
      <c r="G1013" s="28">
        <f>IF(F1013="","",(F1013-D1013))</f>
        <v/>
      </c>
      <c r="H1013" s="10">
        <f>IF(F1013="","",(F1013/D1013)-1)</f>
        <v/>
      </c>
      <c r="I1013" s="75" t="n">
        <v>2850</v>
      </c>
    </row>
    <row r="1014" spans="1:23">
      <c r="A1014" s="1" t="n">
        <v>42891</v>
      </c>
      <c r="B1014" s="25" t="n">
        <v>2894.72</v>
      </c>
      <c r="C1014" s="1" t="n">
        <v>43256</v>
      </c>
      <c r="D1014" s="25" t="n">
        <v>2868.22</v>
      </c>
      <c r="E1014" s="1" t="n">
        <v>43621</v>
      </c>
      <c r="F1014" s="25" t="n"/>
      <c r="G1014" s="28">
        <f>IF(F1014="","",(F1014-D1014))</f>
        <v/>
      </c>
      <c r="H1014" s="10">
        <f>IF(F1014="","",(F1014/D1014)-1)</f>
        <v/>
      </c>
      <c r="I1014" s="75" t="n">
        <v>2850</v>
      </c>
    </row>
    <row r="1015" spans="1:23">
      <c r="A1015" s="1" t="n">
        <v>42892</v>
      </c>
      <c r="B1015" s="25" t="n">
        <v>2895.85</v>
      </c>
      <c r="C1015" s="1" t="n">
        <v>43257</v>
      </c>
      <c r="D1015" s="25" t="n">
        <v>2865.37</v>
      </c>
      <c r="E1015" s="1" t="n">
        <v>43622</v>
      </c>
      <c r="F1015" s="25" t="n"/>
      <c r="G1015" s="28">
        <f>IF(F1015="","",(F1015-D1015))</f>
        <v/>
      </c>
      <c r="H1015" s="10">
        <f>IF(F1015="","",(F1015/D1015)-1)</f>
        <v/>
      </c>
      <c r="I1015" s="75" t="n">
        <v>2850</v>
      </c>
    </row>
    <row r="1016" spans="1:23">
      <c r="A1016" s="1" t="n">
        <v>42893</v>
      </c>
      <c r="B1016" s="25" t="n">
        <v>2893.76</v>
      </c>
      <c r="C1016" s="1" t="n">
        <v>43258</v>
      </c>
      <c r="D1016" s="25" t="n">
        <v>2828.42</v>
      </c>
      <c r="E1016" s="1" t="n">
        <v>43623</v>
      </c>
      <c r="F1016" s="25" t="n"/>
      <c r="G1016" s="28">
        <f>IF(F1016="","",(F1016-D1016))</f>
        <v/>
      </c>
      <c r="H1016" s="10">
        <f>IF(F1016="","",(F1016/D1016)-1)</f>
        <v/>
      </c>
      <c r="I1016" s="75" t="n">
        <v>2850</v>
      </c>
    </row>
    <row r="1017" spans="1:23">
      <c r="A1017" s="1" t="n">
        <v>42894</v>
      </c>
      <c r="B1017" s="25" t="n">
        <v>2907.1</v>
      </c>
      <c r="C1017" s="1" t="n">
        <v>43259</v>
      </c>
      <c r="D1017" s="25" t="n">
        <v>2835.78</v>
      </c>
      <c r="E1017" s="1" t="n">
        <v>43624</v>
      </c>
      <c r="F1017" s="25" t="n"/>
      <c r="G1017" s="28">
        <f>IF(F1017="","",(F1017-D1017))</f>
        <v/>
      </c>
      <c r="H1017" s="10">
        <f>IF(F1017="","",(F1017/D1017)-1)</f>
        <v/>
      </c>
      <c r="I1017" s="75" t="n">
        <v>2850</v>
      </c>
    </row>
    <row r="1018" spans="1:23">
      <c r="A1018" s="1" t="n">
        <v>42895</v>
      </c>
      <c r="B1018" s="25" t="n">
        <v>2919.82</v>
      </c>
      <c r="C1018" s="1" t="n">
        <v>43260</v>
      </c>
      <c r="D1018" s="25" t="n">
        <v>2855.8</v>
      </c>
      <c r="E1018" s="1" t="n">
        <v>43625</v>
      </c>
      <c r="F1018" s="25" t="n"/>
      <c r="G1018" s="28">
        <f>IF(F1018="","",(F1018-D1018))</f>
        <v/>
      </c>
      <c r="H1018" s="10">
        <f>IF(F1018="","",(F1018/D1018)-1)</f>
        <v/>
      </c>
      <c r="I1018" s="75" t="n">
        <v>2850</v>
      </c>
    </row>
    <row r="1019" spans="1:23">
      <c r="A1019" s="1" t="n">
        <v>42896</v>
      </c>
      <c r="B1019" s="25" t="n">
        <v>2919.58</v>
      </c>
      <c r="C1019" s="1" t="n">
        <v>43261</v>
      </c>
      <c r="D1019" s="25" t="n">
        <v>2855.8</v>
      </c>
      <c r="E1019" s="1" t="n">
        <v>43626</v>
      </c>
      <c r="F1019" s="25" t="n"/>
      <c r="G1019" s="28">
        <f>IF(F1019="","",(F1019-D1019))</f>
        <v/>
      </c>
      <c r="H1019" s="10">
        <f>IF(F1019="","",(F1019/D1019)-1)</f>
        <v/>
      </c>
      <c r="I1019" s="75" t="n">
        <v>2850</v>
      </c>
    </row>
    <row r="1020" spans="1:23">
      <c r="A1020" s="1" t="n">
        <v>42897</v>
      </c>
      <c r="B1020" s="25" t="n">
        <v>2919.58</v>
      </c>
      <c r="C1020" s="1" t="n">
        <v>43262</v>
      </c>
      <c r="D1020" s="25" t="n">
        <v>2855.8</v>
      </c>
      <c r="E1020" s="1" t="n">
        <v>43627</v>
      </c>
      <c r="F1020" s="25" t="n"/>
      <c r="G1020" s="28">
        <f>IF(F1020="","",(F1020-D1020))</f>
        <v/>
      </c>
      <c r="H1020" s="10">
        <f>IF(F1020="","",(F1020/D1020)-1)</f>
        <v/>
      </c>
      <c r="I1020" s="75" t="n">
        <v>2850</v>
      </c>
    </row>
    <row r="1021" spans="1:23">
      <c r="A1021" s="1" t="n">
        <v>42898</v>
      </c>
      <c r="B1021" s="25" t="n">
        <v>2919.58</v>
      </c>
      <c r="C1021" s="1" t="n">
        <v>43263</v>
      </c>
      <c r="D1021" s="25" t="n">
        <v>2855.8</v>
      </c>
      <c r="E1021" s="1" t="n">
        <v>43628</v>
      </c>
      <c r="F1021" s="25" t="n"/>
      <c r="G1021" s="28">
        <f>IF(F1021="","",(F1021-D1021))</f>
        <v/>
      </c>
      <c r="H1021" s="10">
        <f>IF(F1021="","",(F1021/D1021)-1)</f>
        <v/>
      </c>
      <c r="I1021" s="75" t="n">
        <v>2850</v>
      </c>
    </row>
    <row r="1022" spans="1:23">
      <c r="A1022" s="1" t="n">
        <v>42899</v>
      </c>
      <c r="B1022" s="25" t="n">
        <v>2929.2</v>
      </c>
      <c r="C1022" s="1" t="n">
        <v>43264</v>
      </c>
      <c r="D1022" s="25" t="n">
        <v>2857.11</v>
      </c>
      <c r="E1022" s="1" t="n">
        <v>43629</v>
      </c>
      <c r="F1022" s="25" t="n"/>
      <c r="G1022" s="28">
        <f>IF(F1022="","",(F1022-D1022))</f>
        <v/>
      </c>
      <c r="H1022" s="10">
        <f>IF(F1022="","",(F1022/D1022)-1)</f>
        <v/>
      </c>
      <c r="I1022" s="75" t="n">
        <v>2850</v>
      </c>
    </row>
    <row r="1023" spans="1:23">
      <c r="A1023" s="1" t="n">
        <v>42900</v>
      </c>
      <c r="B1023" s="25" t="n">
        <v>2933.13</v>
      </c>
      <c r="C1023" s="1" t="n">
        <v>43265</v>
      </c>
      <c r="D1023" s="25" t="n">
        <v>2859.17</v>
      </c>
      <c r="E1023" s="1" t="n">
        <v>43630</v>
      </c>
      <c r="F1023" s="25" t="n"/>
      <c r="G1023" s="28">
        <f>IF(F1023="","",(F1023-D1023))</f>
        <v/>
      </c>
      <c r="H1023" s="10">
        <f>IF(F1023="","",(F1023/D1023)-1)</f>
        <v/>
      </c>
      <c r="I1023" s="75" t="n">
        <v>2850</v>
      </c>
    </row>
    <row r="1024" spans="1:23">
      <c r="A1024" s="1" t="n">
        <v>42901</v>
      </c>
      <c r="B1024" s="25" t="n">
        <v>2924.75</v>
      </c>
      <c r="C1024" s="1" t="n">
        <v>43266</v>
      </c>
      <c r="D1024" s="25" t="n">
        <v>2859.78</v>
      </c>
      <c r="E1024" s="1" t="n">
        <v>43631</v>
      </c>
      <c r="F1024" s="25" t="n"/>
      <c r="G1024" s="28">
        <f>IF(F1024="","",(F1024-D1024))</f>
        <v/>
      </c>
      <c r="H1024" s="10">
        <f>IF(F1024="","",(F1024/D1024)-1)</f>
        <v/>
      </c>
      <c r="I1024" s="75" t="n">
        <v>2850</v>
      </c>
    </row>
    <row r="1025" spans="1:23">
      <c r="A1025" s="1" t="n">
        <v>42902</v>
      </c>
      <c r="B1025" s="25" t="n">
        <v>2953.83</v>
      </c>
      <c r="C1025" s="1" t="n">
        <v>43267</v>
      </c>
      <c r="D1025" s="25" t="n">
        <v>2890.06</v>
      </c>
      <c r="E1025" s="1" t="n">
        <v>43632</v>
      </c>
      <c r="F1025" s="25" t="n"/>
      <c r="G1025" s="28">
        <f>IF(F1025="","",(F1025-D1025))</f>
        <v/>
      </c>
      <c r="H1025" s="10">
        <f>IF(F1025="","",(F1025/D1025)-1)</f>
        <v/>
      </c>
      <c r="I1025" s="75" t="n">
        <v>2850</v>
      </c>
    </row>
    <row r="1026" spans="1:23">
      <c r="A1026" s="1" t="n">
        <v>42903</v>
      </c>
      <c r="B1026" s="25" t="n">
        <v>2961.68</v>
      </c>
      <c r="C1026" s="1" t="n">
        <v>43268</v>
      </c>
      <c r="D1026" s="25" t="n">
        <v>2890.06</v>
      </c>
      <c r="E1026" s="1" t="n">
        <v>43633</v>
      </c>
      <c r="F1026" s="25" t="n"/>
      <c r="G1026" s="28">
        <f>IF(F1026="","",(F1026-D1026))</f>
        <v/>
      </c>
      <c r="H1026" s="10">
        <f>IF(F1026="","",(F1026/D1026)-1)</f>
        <v/>
      </c>
      <c r="I1026" s="75" t="n">
        <v>2850</v>
      </c>
    </row>
    <row r="1027" spans="1:23">
      <c r="A1027" s="1" t="n">
        <v>42904</v>
      </c>
      <c r="B1027" s="25" t="n">
        <v>2961.68</v>
      </c>
      <c r="C1027" s="1" t="n">
        <v>43269</v>
      </c>
      <c r="D1027" s="25" t="n">
        <v>2890.06</v>
      </c>
      <c r="E1027" s="1" t="n">
        <v>43634</v>
      </c>
      <c r="F1027" s="25" t="n"/>
      <c r="G1027" s="28">
        <f>IF(F1027="","",(F1027-D1027))</f>
        <v/>
      </c>
      <c r="H1027" s="10">
        <f>IF(F1027="","",(F1027/D1027)-1)</f>
        <v/>
      </c>
      <c r="I1027" s="75" t="n">
        <v>2850</v>
      </c>
    </row>
    <row r="1028" spans="1:23">
      <c r="A1028" s="1" t="n">
        <v>42905</v>
      </c>
      <c r="B1028" s="25" t="n">
        <v>2961.68</v>
      </c>
      <c r="C1028" s="1" t="n">
        <v>43270</v>
      </c>
      <c r="D1028" s="25" t="n">
        <v>2919.14</v>
      </c>
      <c r="E1028" s="1" t="n">
        <v>43635</v>
      </c>
      <c r="F1028" s="25" t="n"/>
      <c r="G1028" s="28">
        <f>IF(F1028="","",(F1028-D1028))</f>
        <v/>
      </c>
      <c r="H1028" s="10">
        <f>IF(F1028="","",(F1028/D1028)-1)</f>
        <v/>
      </c>
      <c r="I1028" s="75" t="n">
        <v>2850</v>
      </c>
    </row>
    <row r="1029" spans="1:23">
      <c r="A1029" s="1" t="n">
        <v>42906</v>
      </c>
      <c r="B1029" s="25" t="n">
        <v>2961.68</v>
      </c>
      <c r="C1029" s="1" t="n">
        <v>43271</v>
      </c>
      <c r="D1029" s="25" t="n">
        <v>2931.78</v>
      </c>
      <c r="E1029" s="1" t="n">
        <v>43636</v>
      </c>
      <c r="F1029" s="25" t="n"/>
      <c r="G1029" s="28">
        <f>IF(F1029="","",(F1029-D1029))</f>
        <v/>
      </c>
      <c r="H1029" s="10">
        <f>IF(F1029="","",(F1029/D1029)-1)</f>
        <v/>
      </c>
      <c r="I1029" s="75" t="n">
        <v>2850</v>
      </c>
    </row>
    <row r="1030" spans="1:23">
      <c r="A1030" s="1" t="n">
        <v>42907</v>
      </c>
      <c r="B1030" s="25" t="n">
        <v>3029.53</v>
      </c>
      <c r="C1030" s="1" t="n">
        <v>43272</v>
      </c>
      <c r="D1030" s="25" t="n">
        <v>2916.49</v>
      </c>
      <c r="E1030" s="1" t="n">
        <v>43637</v>
      </c>
      <c r="F1030" s="25" t="n"/>
      <c r="G1030" s="28">
        <f>IF(F1030="","",(F1030-D1030))</f>
        <v/>
      </c>
      <c r="H1030" s="10">
        <f>IF(F1030="","",(F1030/D1030)-1)</f>
        <v/>
      </c>
      <c r="I1030" s="75" t="n">
        <v>2850</v>
      </c>
    </row>
    <row r="1031" spans="1:23">
      <c r="A1031" s="1" t="n">
        <v>42908</v>
      </c>
      <c r="B1031" s="25" t="n">
        <v>3053.9</v>
      </c>
      <c r="C1031" s="1" t="n">
        <v>43273</v>
      </c>
      <c r="D1031" s="25" t="n">
        <v>2944.82</v>
      </c>
      <c r="E1031" s="1" t="n">
        <v>43638</v>
      </c>
      <c r="F1031" s="25" t="n"/>
      <c r="G1031" s="28">
        <f>IF(F1031="","",(F1031-D1031))</f>
        <v/>
      </c>
      <c r="H1031" s="10">
        <f>IF(F1031="","",(F1031/D1031)-1)</f>
        <v/>
      </c>
      <c r="I1031" s="75" t="n">
        <v>2850</v>
      </c>
    </row>
    <row r="1032" spans="1:23">
      <c r="A1032" s="1" t="n">
        <v>42909</v>
      </c>
      <c r="B1032" s="25" t="n">
        <v>3035.83</v>
      </c>
      <c r="C1032" s="1" t="n">
        <v>43274</v>
      </c>
      <c r="D1032" s="25" t="n">
        <v>2918.22</v>
      </c>
      <c r="E1032" s="1" t="n">
        <v>43639</v>
      </c>
      <c r="F1032" s="25" t="n"/>
      <c r="G1032" s="28">
        <f>IF(F1032="","",(F1032-D1032))</f>
        <v/>
      </c>
      <c r="H1032" s="10">
        <f>IF(F1032="","",(F1032/D1032)-1)</f>
        <v/>
      </c>
      <c r="I1032" s="75" t="n">
        <v>2850</v>
      </c>
    </row>
    <row r="1033" spans="1:23">
      <c r="A1033" s="1" t="n">
        <v>42910</v>
      </c>
      <c r="B1033" s="25" t="n">
        <v>3010.68</v>
      </c>
      <c r="C1033" s="1" t="n">
        <v>43275</v>
      </c>
      <c r="D1033" s="25" t="n">
        <v>2918.22</v>
      </c>
      <c r="E1033" s="1" t="n">
        <v>43640</v>
      </c>
      <c r="F1033" s="25" t="n"/>
      <c r="G1033" s="28">
        <f>IF(F1033="","",(F1033-D1033))</f>
        <v/>
      </c>
      <c r="H1033" s="10">
        <f>IF(F1033="","",(F1033/D1033)-1)</f>
        <v/>
      </c>
      <c r="I1033" s="75" t="n">
        <v>2850</v>
      </c>
    </row>
    <row r="1034" spans="1:23">
      <c r="A1034" s="1" t="n">
        <v>42911</v>
      </c>
      <c r="B1034" s="25" t="n">
        <v>3010.68</v>
      </c>
      <c r="C1034" s="1" t="n">
        <v>43276</v>
      </c>
      <c r="D1034" s="25" t="n">
        <v>2918.22</v>
      </c>
      <c r="E1034" s="1" t="n">
        <v>43641</v>
      </c>
      <c r="F1034" s="25" t="n"/>
      <c r="G1034" s="28">
        <f>IF(F1034="","",(F1034-D1034))</f>
        <v/>
      </c>
      <c r="H1034" s="10">
        <f>IF(F1034="","",(F1034/D1034)-1)</f>
        <v/>
      </c>
      <c r="I1034" s="75" t="n">
        <v>2850</v>
      </c>
    </row>
    <row r="1035" spans="1:23">
      <c r="A1035" s="1" t="n">
        <v>42912</v>
      </c>
      <c r="B1035" s="25" t="n">
        <v>3010.68</v>
      </c>
      <c r="C1035" s="1" t="n">
        <v>43277</v>
      </c>
      <c r="D1035" s="25" t="n">
        <v>2927.67</v>
      </c>
      <c r="E1035" s="1" t="n">
        <v>43642</v>
      </c>
      <c r="F1035" s="25" t="n"/>
      <c r="G1035" s="28">
        <f>IF(F1035="","",(F1035-D1035))</f>
        <v/>
      </c>
      <c r="H1035" s="10">
        <f>IF(F1035="","",(F1035/D1035)-1)</f>
        <v/>
      </c>
      <c r="I1035" s="75" t="n">
        <v>2850</v>
      </c>
    </row>
    <row r="1036" spans="1:23">
      <c r="A1036" s="1" t="n">
        <v>42913</v>
      </c>
      <c r="B1036" s="25" t="n">
        <v>3010.68</v>
      </c>
      <c r="C1036" s="1" t="n">
        <v>43278</v>
      </c>
      <c r="D1036" s="25" t="n">
        <v>2924.1</v>
      </c>
      <c r="E1036" s="1" t="n">
        <v>43643</v>
      </c>
      <c r="F1036" s="25" t="n"/>
      <c r="G1036" s="28">
        <f>IF(F1036="","",(F1036-D1036))</f>
        <v/>
      </c>
      <c r="H1036" s="10">
        <f>IF(F1036="","",(F1036/D1036)-1)</f>
        <v/>
      </c>
      <c r="I1036" s="75" t="n">
        <v>2850</v>
      </c>
    </row>
    <row r="1037" spans="1:23">
      <c r="A1037" s="1" t="n">
        <v>42914</v>
      </c>
      <c r="B1037" s="25" t="n">
        <v>3025.28</v>
      </c>
      <c r="C1037" s="1" t="n">
        <v>43279</v>
      </c>
      <c r="D1037" s="25" t="n">
        <v>2924.1</v>
      </c>
      <c r="E1037" s="1" t="n">
        <v>43644</v>
      </c>
      <c r="F1037" s="25" t="n"/>
      <c r="G1037" s="28">
        <f>IF(F1037="","",(F1037-D1037))</f>
        <v/>
      </c>
      <c r="H1037" s="10">
        <f>IF(F1037="","",(F1037/D1037)-1)</f>
        <v/>
      </c>
      <c r="I1037" s="75" t="n">
        <v>2850</v>
      </c>
    </row>
    <row r="1038" spans="1:23">
      <c r="A1038" s="1" t="n">
        <v>42915</v>
      </c>
      <c r="B1038" s="25" t="n">
        <v>3023.64</v>
      </c>
      <c r="C1038" s="1" t="n">
        <v>43280</v>
      </c>
      <c r="D1038" s="25" t="n">
        <v>2934.91</v>
      </c>
      <c r="E1038" s="1" t="n">
        <v>43645</v>
      </c>
      <c r="F1038" s="25" t="n"/>
      <c r="G1038" s="28">
        <f>IF(F1038="","",(F1038-D1038))</f>
        <v/>
      </c>
      <c r="H1038" s="10">
        <f>IF(F1038="","",(F1038/D1038)-1)</f>
        <v/>
      </c>
      <c r="I1038" s="75" t="n">
        <v>2850</v>
      </c>
    </row>
    <row r="1039" spans="1:23">
      <c r="A1039" s="1" t="n">
        <v>42916</v>
      </c>
      <c r="B1039" s="25" t="n">
        <v>3038.26</v>
      </c>
      <c r="C1039" s="1" t="n">
        <v>43281</v>
      </c>
      <c r="D1039" s="25" t="n">
        <v>2945.09</v>
      </c>
      <c r="E1039" s="1" t="n">
        <v>43646</v>
      </c>
      <c r="F1039" s="25" t="n"/>
      <c r="G1039" s="28">
        <f>IF(F1039="","",(F1039-D1039))</f>
        <v/>
      </c>
      <c r="H1039" s="10">
        <f>IF(F1039="","",(F1039/D1039)-1)</f>
        <v/>
      </c>
      <c r="I1039" s="75" t="n">
        <v>2850</v>
      </c>
    </row>
    <row r="1040" spans="1:23">
      <c r="A1040" s="1" t="n">
        <v>42917</v>
      </c>
      <c r="B1040" s="25" t="n">
        <v>3050.43</v>
      </c>
      <c r="C1040" s="1" t="n">
        <v>43282</v>
      </c>
      <c r="D1040" s="25" t="n">
        <v>2930.8</v>
      </c>
      <c r="E1040" s="1" t="n">
        <v>43647</v>
      </c>
      <c r="F1040" s="25" t="n"/>
      <c r="G1040" s="28">
        <f>IF(F1040="","",(F1040-D1040))</f>
        <v/>
      </c>
      <c r="H1040" s="10">
        <f>IF(F1040="","",(F1040/D1040)-1)</f>
        <v/>
      </c>
      <c r="I1040" s="75" t="n">
        <v>2850</v>
      </c>
    </row>
    <row r="1041" spans="1:23">
      <c r="A1041" s="1" t="n">
        <v>42918</v>
      </c>
      <c r="B1041" s="25" t="n">
        <v>3050.43</v>
      </c>
      <c r="C1041" s="1" t="n">
        <v>43283</v>
      </c>
      <c r="D1041" s="25" t="n">
        <v>2930.8</v>
      </c>
      <c r="E1041" s="1" t="n">
        <v>43648</v>
      </c>
      <c r="F1041" s="25" t="n"/>
      <c r="G1041" s="28">
        <f>IF(F1041="","",(F1041-D1041))</f>
        <v/>
      </c>
      <c r="H1041" s="10">
        <f>IF(F1041="","",(F1041/D1041)-1)</f>
        <v/>
      </c>
      <c r="I1041" s="75" t="n">
        <v>2850</v>
      </c>
    </row>
    <row r="1042" spans="1:23">
      <c r="A1042" s="1" t="n">
        <v>42919</v>
      </c>
      <c r="B1042" s="25" t="n">
        <v>3050.43</v>
      </c>
      <c r="C1042" s="1" t="n">
        <v>43284</v>
      </c>
      <c r="D1042" s="25" t="n">
        <v>2930.8</v>
      </c>
      <c r="E1042" s="1" t="n">
        <v>43649</v>
      </c>
      <c r="F1042" s="25" t="n"/>
      <c r="G1042" s="28">
        <f>IF(F1042="","",(F1042-D1042))</f>
        <v/>
      </c>
      <c r="H1042" s="10">
        <f>IF(F1042="","",(F1042/D1042)-1)</f>
        <v/>
      </c>
      <c r="I1042" s="75" t="n">
        <v>2850</v>
      </c>
    </row>
    <row r="1043" spans="1:23">
      <c r="A1043" s="1" t="n">
        <v>42920</v>
      </c>
      <c r="B1043" s="25" t="n">
        <v>3050.43</v>
      </c>
      <c r="C1043" s="1" t="n">
        <v>43285</v>
      </c>
      <c r="D1043" s="25" t="n">
        <v>2909.83</v>
      </c>
      <c r="E1043" s="1" t="n">
        <v>43650</v>
      </c>
      <c r="F1043" s="25" t="n"/>
      <c r="G1043" s="28">
        <f>IF(F1043="","",(F1043-D1043))</f>
        <v/>
      </c>
      <c r="H1043" s="10">
        <f>IF(F1043="","",(F1043/D1043)-1)</f>
        <v/>
      </c>
      <c r="I1043" s="75" t="n">
        <v>2850</v>
      </c>
    </row>
    <row r="1044" spans="1:23">
      <c r="A1044" s="1" t="n">
        <v>42921</v>
      </c>
      <c r="B1044" s="25" t="n">
        <v>3050.43</v>
      </c>
      <c r="C1044" s="1" t="n">
        <v>43286</v>
      </c>
      <c r="D1044" s="25" t="n">
        <v>2909.83</v>
      </c>
      <c r="E1044" s="1" t="n">
        <v>43651</v>
      </c>
      <c r="F1044" s="25" t="n"/>
      <c r="G1044" s="28">
        <f>IF(F1044="","",(F1044-D1044))</f>
        <v/>
      </c>
      <c r="H1044" s="10">
        <f>IF(F1044="","",(F1044/D1044)-1)</f>
        <v/>
      </c>
      <c r="I1044" s="75" t="n">
        <v>2850</v>
      </c>
    </row>
    <row r="1045" spans="1:23">
      <c r="A1045" s="1" t="n">
        <v>42922</v>
      </c>
      <c r="B1045" s="25" t="n">
        <v>3068.93</v>
      </c>
      <c r="C1045" s="1" t="n">
        <v>43287</v>
      </c>
      <c r="D1045" s="25" t="n">
        <v>2885.53</v>
      </c>
      <c r="E1045" s="1" t="n">
        <v>43652</v>
      </c>
      <c r="F1045" s="25" t="n"/>
      <c r="G1045" s="28">
        <f>IF(F1045="","",(F1045-D1045))</f>
        <v/>
      </c>
      <c r="H1045" s="10">
        <f>IF(F1045="","",(F1045/D1045)-1)</f>
        <v/>
      </c>
      <c r="I1045" s="75" t="n">
        <v>2850</v>
      </c>
    </row>
    <row r="1046" spans="1:23">
      <c r="A1046" s="1" t="n">
        <v>42923</v>
      </c>
      <c r="B1046" s="25" t="n">
        <v>3084.19</v>
      </c>
      <c r="C1046" s="1" t="n">
        <v>43288</v>
      </c>
      <c r="D1046" s="25" t="n">
        <v>2867.94</v>
      </c>
      <c r="E1046" s="1" t="n">
        <v>43653</v>
      </c>
      <c r="F1046" s="25" t="n"/>
      <c r="G1046" s="28">
        <f>IF(F1046="","",(F1046-D1046))</f>
        <v/>
      </c>
      <c r="H1046" s="10">
        <f>IF(F1046="","",(F1046/D1046)-1)</f>
        <v/>
      </c>
      <c r="I1046" s="75" t="n">
        <v>2850</v>
      </c>
    </row>
    <row r="1047" spans="1:23">
      <c r="A1047" s="1" t="n">
        <v>42924</v>
      </c>
      <c r="B1047" s="25" t="n">
        <v>3092.65</v>
      </c>
      <c r="C1047" s="1" t="n">
        <v>43289</v>
      </c>
      <c r="D1047" s="25" t="n">
        <v>2867.94</v>
      </c>
      <c r="E1047" s="1" t="n">
        <v>43654</v>
      </c>
      <c r="F1047" s="25" t="n"/>
      <c r="G1047" s="28">
        <f>IF(F1047="","",(F1047-D1047))</f>
        <v/>
      </c>
      <c r="H1047" s="10">
        <f>IF(F1047="","",(F1047/D1047)-1)</f>
        <v/>
      </c>
      <c r="I1047" s="75" t="n">
        <v>2850</v>
      </c>
    </row>
    <row r="1048" spans="1:23">
      <c r="A1048" s="1" t="n">
        <v>42925</v>
      </c>
      <c r="B1048" s="25" t="n">
        <v>3092.65</v>
      </c>
      <c r="C1048" s="1" t="n">
        <v>43290</v>
      </c>
      <c r="D1048" s="25" t="n">
        <v>2867.94</v>
      </c>
      <c r="E1048" s="1" t="n">
        <v>43655</v>
      </c>
      <c r="F1048" s="25" t="n"/>
      <c r="G1048" s="28">
        <f>IF(F1048="","",(F1048-D1048))</f>
        <v/>
      </c>
      <c r="H1048" s="10">
        <f>IF(F1048="","",(F1048/D1048)-1)</f>
        <v/>
      </c>
      <c r="I1048" s="75" t="n">
        <v>2850</v>
      </c>
    </row>
    <row r="1049" spans="1:23">
      <c r="A1049" s="1" t="n">
        <v>42926</v>
      </c>
      <c r="B1049" s="25" t="n">
        <v>3092.65</v>
      </c>
      <c r="C1049" s="1" t="n">
        <v>43291</v>
      </c>
      <c r="D1049" s="25" t="n">
        <v>2881.09</v>
      </c>
      <c r="E1049" s="1" t="n">
        <v>43656</v>
      </c>
      <c r="F1049" s="25" t="n"/>
      <c r="G1049" s="28">
        <f>IF(F1049="","",(F1049-D1049))</f>
        <v/>
      </c>
      <c r="H1049" s="10">
        <f>IF(F1049="","",(F1049/D1049)-1)</f>
        <v/>
      </c>
      <c r="I1049" s="75" t="n">
        <v>2850</v>
      </c>
    </row>
    <row r="1050" spans="1:23">
      <c r="A1050" s="1" t="n">
        <v>42927</v>
      </c>
      <c r="B1050" s="25" t="n">
        <v>3067.33</v>
      </c>
      <c r="C1050" s="1" t="n">
        <v>43292</v>
      </c>
      <c r="D1050" s="25" t="n">
        <v>2872.62</v>
      </c>
      <c r="E1050" s="1" t="n">
        <v>43657</v>
      </c>
      <c r="F1050" s="25" t="n"/>
      <c r="G1050" s="28">
        <f>IF(F1050="","",(F1050-D1050))</f>
        <v/>
      </c>
      <c r="H1050" s="10">
        <f>IF(F1050="","",(F1050/D1050)-1)</f>
        <v/>
      </c>
      <c r="I1050" s="75" t="n">
        <v>2850</v>
      </c>
    </row>
    <row r="1051" spans="1:23">
      <c r="A1051" s="1" t="n">
        <v>42928</v>
      </c>
      <c r="B1051" s="25" t="n">
        <v>3067.73</v>
      </c>
      <c r="C1051" s="1" t="n">
        <v>43293</v>
      </c>
      <c r="D1051" s="25" t="n">
        <v>2880.1</v>
      </c>
      <c r="E1051" s="1" t="n">
        <v>43658</v>
      </c>
      <c r="F1051" s="25" t="n"/>
      <c r="G1051" s="28">
        <f>IF(F1051="","",(F1051-D1051))</f>
        <v/>
      </c>
      <c r="H1051" s="10">
        <f>IF(F1051="","",(F1051/D1051)-1)</f>
        <v/>
      </c>
      <c r="I1051" s="75" t="n">
        <v>2850</v>
      </c>
    </row>
    <row r="1052" spans="1:23">
      <c r="A1052" s="1" t="n">
        <v>42929</v>
      </c>
      <c r="B1052" s="25" t="n">
        <v>3052.3</v>
      </c>
      <c r="C1052" s="1" t="n">
        <v>43294</v>
      </c>
      <c r="D1052" s="25" t="n">
        <v>2882.02</v>
      </c>
      <c r="E1052" s="1" t="n">
        <v>43659</v>
      </c>
      <c r="F1052" s="25" t="n"/>
      <c r="G1052" s="28">
        <f>IF(F1052="","",(F1052-D1052))</f>
        <v/>
      </c>
      <c r="H1052" s="10">
        <f>IF(F1052="","",(F1052/D1052)-1)</f>
        <v/>
      </c>
      <c r="I1052" s="75" t="n">
        <v>2850</v>
      </c>
    </row>
    <row r="1053" spans="1:23">
      <c r="A1053" s="1" t="n">
        <v>42930</v>
      </c>
      <c r="B1053" s="25" t="n">
        <v>3043.6</v>
      </c>
      <c r="C1053" s="1" t="n">
        <v>43295</v>
      </c>
      <c r="D1053" s="25" t="n">
        <v>2861.7</v>
      </c>
      <c r="E1053" s="1" t="n">
        <v>43660</v>
      </c>
      <c r="F1053" s="25" t="n"/>
      <c r="G1053" s="28">
        <f>IF(F1053="","",(F1053-D1053))</f>
        <v/>
      </c>
      <c r="H1053" s="10">
        <f>IF(F1053="","",(F1053/D1053)-1)</f>
        <v/>
      </c>
      <c r="I1053" s="75" t="n">
        <v>2850</v>
      </c>
    </row>
    <row r="1054" spans="1:23">
      <c r="A1054" s="1" t="n">
        <v>42931</v>
      </c>
      <c r="B1054" s="25" t="n">
        <v>3019.56</v>
      </c>
      <c r="C1054" s="1" t="n">
        <v>43296</v>
      </c>
      <c r="D1054" s="25" t="n">
        <v>2861.7</v>
      </c>
      <c r="E1054" s="1" t="n">
        <v>43661</v>
      </c>
      <c r="F1054" s="25" t="n"/>
      <c r="G1054" s="28">
        <f>IF(F1054="","",(F1054-D1054))</f>
        <v/>
      </c>
      <c r="H1054" s="10">
        <f>IF(F1054="","",(F1054/D1054)-1)</f>
        <v/>
      </c>
      <c r="I1054" s="75" t="n">
        <v>2850</v>
      </c>
    </row>
    <row r="1055" spans="1:23">
      <c r="A1055" s="1" t="n">
        <v>42932</v>
      </c>
      <c r="B1055" s="25" t="n">
        <v>3019.56</v>
      </c>
      <c r="C1055" s="1" t="n">
        <v>43297</v>
      </c>
      <c r="D1055" s="25" t="n">
        <v>2861.7</v>
      </c>
      <c r="E1055" s="1" t="n">
        <v>43662</v>
      </c>
      <c r="F1055" s="25" t="n"/>
      <c r="G1055" s="28">
        <f>IF(F1055="","",(F1055-D1055))</f>
        <v/>
      </c>
      <c r="H1055" s="10">
        <f>IF(F1055="","",(F1055/D1055)-1)</f>
        <v/>
      </c>
      <c r="I1055" s="75" t="n">
        <v>2850</v>
      </c>
    </row>
    <row r="1056" spans="1:23">
      <c r="A1056" s="1" t="n">
        <v>42933</v>
      </c>
      <c r="B1056" s="25" t="n">
        <v>3019.56</v>
      </c>
      <c r="C1056" s="1" t="n">
        <v>43298</v>
      </c>
      <c r="D1056" s="25" t="n">
        <v>2868.96</v>
      </c>
      <c r="E1056" s="1" t="n">
        <v>43663</v>
      </c>
      <c r="F1056" s="25" t="n"/>
      <c r="G1056" s="28">
        <f>IF(F1056="","",(F1056-D1056))</f>
        <v/>
      </c>
      <c r="H1056" s="10">
        <f>IF(F1056="","",(F1056/D1056)-1)</f>
        <v/>
      </c>
      <c r="I1056" s="75" t="n">
        <v>2850</v>
      </c>
    </row>
    <row r="1057" spans="1:23">
      <c r="A1057" s="1" t="n">
        <v>42934</v>
      </c>
      <c r="B1057" s="25" t="n">
        <v>3030.6</v>
      </c>
      <c r="C1057" s="1" t="n">
        <v>43299</v>
      </c>
      <c r="D1057" s="25" t="n">
        <v>2878.28</v>
      </c>
      <c r="E1057" s="1" t="n">
        <v>43664</v>
      </c>
      <c r="F1057" s="25" t="n"/>
      <c r="G1057" s="28">
        <f>IF(F1057="","",(F1057-D1057))</f>
        <v/>
      </c>
      <c r="H1057" s="10">
        <f>IF(F1057="","",(F1057/D1057)-1)</f>
        <v/>
      </c>
      <c r="I1057" s="75" t="n">
        <v>2850</v>
      </c>
    </row>
    <row r="1058" spans="1:23">
      <c r="A1058" s="1" t="n">
        <v>42935</v>
      </c>
      <c r="B1058" s="25" t="n">
        <v>3013.26</v>
      </c>
      <c r="C1058" s="1" t="n">
        <v>43300</v>
      </c>
      <c r="D1058" s="25" t="n">
        <v>2876.93</v>
      </c>
      <c r="E1058" s="1" t="n">
        <v>43665</v>
      </c>
      <c r="F1058" s="25" t="n"/>
      <c r="G1058" s="28">
        <f>IF(F1058="","",(F1058-D1058))</f>
        <v/>
      </c>
      <c r="H1058" s="10">
        <f>IF(F1058="","",(F1058/D1058)-1)</f>
        <v/>
      </c>
      <c r="I1058" s="75" t="n">
        <v>2850</v>
      </c>
    </row>
    <row r="1059" spans="1:23">
      <c r="A1059" s="1" t="n">
        <v>42936</v>
      </c>
      <c r="B1059" s="25" t="n">
        <v>3010</v>
      </c>
      <c r="C1059" s="1" t="n">
        <v>43301</v>
      </c>
      <c r="D1059" s="25" t="n">
        <v>2883.81</v>
      </c>
      <c r="E1059" s="1" t="n">
        <v>43666</v>
      </c>
      <c r="F1059" s="25" t="n"/>
      <c r="G1059" s="28">
        <f>IF(F1059="","",(F1059-D1059))</f>
        <v/>
      </c>
      <c r="H1059" s="10">
        <f>IF(F1059="","",(F1059/D1059)-1)</f>
        <v/>
      </c>
      <c r="I1059" s="75" t="n">
        <v>2850</v>
      </c>
    </row>
    <row r="1060" spans="1:23">
      <c r="A1060" s="1" t="n">
        <v>42937</v>
      </c>
      <c r="B1060" s="25" t="n">
        <v>3010</v>
      </c>
      <c r="C1060" s="1" t="n">
        <v>43302</v>
      </c>
      <c r="D1060" s="25" t="n">
        <v>2883.81</v>
      </c>
      <c r="E1060" s="1" t="n">
        <v>43667</v>
      </c>
      <c r="F1060" s="25" t="n"/>
      <c r="G1060" s="28">
        <f>IF(F1060="","",(F1060-D1060))</f>
        <v/>
      </c>
      <c r="H1060" s="10">
        <f>IF(F1060="","",(F1060/D1060)-1)</f>
        <v/>
      </c>
      <c r="I1060" s="75" t="n">
        <v>2850</v>
      </c>
    </row>
    <row r="1061" spans="1:23">
      <c r="A1061" s="1" t="n">
        <v>42938</v>
      </c>
      <c r="B1061" s="25" t="n">
        <v>3010.77</v>
      </c>
      <c r="C1061" s="1" t="n">
        <v>43303</v>
      </c>
      <c r="D1061" s="25" t="n">
        <v>2883.81</v>
      </c>
      <c r="E1061" s="1" t="n">
        <v>43668</v>
      </c>
      <c r="F1061" s="25" t="n"/>
      <c r="G1061" s="28">
        <f>IF(F1061="","",(F1061-D1061))</f>
        <v/>
      </c>
      <c r="H1061" s="10">
        <f>IF(F1061="","",(F1061/D1061)-1)</f>
        <v/>
      </c>
      <c r="I1061" s="75" t="n">
        <v>2850</v>
      </c>
    </row>
    <row r="1062" spans="1:23">
      <c r="A1062" s="1" t="n">
        <v>42939</v>
      </c>
      <c r="B1062" s="25" t="n">
        <v>3010.77</v>
      </c>
      <c r="C1062" s="1" t="n">
        <v>43304</v>
      </c>
      <c r="D1062" s="25" t="n">
        <v>2883.81</v>
      </c>
      <c r="E1062" s="1" t="n">
        <v>43669</v>
      </c>
      <c r="F1062" s="25" t="n"/>
      <c r="G1062" s="28">
        <f>IF(F1062="","",(F1062-D1062))</f>
        <v/>
      </c>
      <c r="H1062" s="10">
        <f>IF(F1062="","",(F1062/D1062)-1)</f>
        <v/>
      </c>
      <c r="I1062" s="75" t="n">
        <v>2850</v>
      </c>
    </row>
    <row r="1063" spans="1:23">
      <c r="A1063" s="1" t="n">
        <v>42940</v>
      </c>
      <c r="B1063" s="25" t="n">
        <v>3010.77</v>
      </c>
      <c r="C1063" s="1" t="n">
        <v>43305</v>
      </c>
      <c r="D1063" s="25" t="n">
        <v>2897.73</v>
      </c>
      <c r="E1063" s="1" t="n">
        <v>43670</v>
      </c>
      <c r="F1063" s="25" t="n"/>
      <c r="G1063" s="28">
        <f>IF(F1063="","",(F1063-D1063))</f>
        <v/>
      </c>
      <c r="H1063" s="10">
        <f>IF(F1063="","",(F1063/D1063)-1)</f>
        <v/>
      </c>
      <c r="I1063" s="75" t="n">
        <v>2850</v>
      </c>
    </row>
    <row r="1064" spans="1:23">
      <c r="A1064" s="1" t="n">
        <v>42941</v>
      </c>
      <c r="B1064" s="25" t="n">
        <v>3023.67</v>
      </c>
      <c r="C1064" s="1" t="n">
        <v>43306</v>
      </c>
      <c r="D1064" s="25" t="n">
        <v>2898.36</v>
      </c>
      <c r="E1064" s="1" t="n">
        <v>43671</v>
      </c>
      <c r="F1064" s="25" t="n"/>
      <c r="G1064" s="28">
        <f>IF(F1064="","",(F1064-D1064))</f>
        <v/>
      </c>
      <c r="H1064" s="10">
        <f>IF(F1064="","",(F1064/D1064)-1)</f>
        <v/>
      </c>
      <c r="I1064" s="75" t="n">
        <v>2850</v>
      </c>
    </row>
    <row r="1065" spans="1:23">
      <c r="A1065" s="1" t="n">
        <v>42942</v>
      </c>
      <c r="B1065" s="25" t="n">
        <v>3026.55</v>
      </c>
      <c r="C1065" s="1" t="n">
        <v>43307</v>
      </c>
      <c r="D1065" s="25" t="n">
        <v>2882.84</v>
      </c>
      <c r="E1065" s="1" t="n">
        <v>43672</v>
      </c>
      <c r="F1065" s="25" t="n"/>
      <c r="G1065" s="28">
        <f>IF(F1065="","",(F1065-D1065))</f>
        <v/>
      </c>
      <c r="H1065" s="10">
        <f>IF(F1065="","",(F1065/D1065)-1)</f>
        <v/>
      </c>
      <c r="I1065" s="75" t="n">
        <v>2850</v>
      </c>
    </row>
    <row r="1066" spans="1:23">
      <c r="A1066" s="1" t="n">
        <v>42943</v>
      </c>
      <c r="B1066" s="25" t="n">
        <v>3026.22</v>
      </c>
      <c r="C1066" s="1" t="n">
        <v>43308</v>
      </c>
      <c r="D1066" s="25" t="n">
        <v>2886.21</v>
      </c>
      <c r="E1066" s="1" t="n">
        <v>43673</v>
      </c>
      <c r="F1066" s="25" t="n"/>
      <c r="G1066" s="28">
        <f>IF(F1066="","",(F1066-D1066))</f>
        <v/>
      </c>
      <c r="H1066" s="10">
        <f>IF(F1066="","",(F1066/D1066)-1)</f>
        <v/>
      </c>
      <c r="I1066" s="75" t="n">
        <v>2850</v>
      </c>
    </row>
    <row r="1067" spans="1:23">
      <c r="A1067" s="1" t="n">
        <v>42944</v>
      </c>
      <c r="B1067" s="25" t="n">
        <v>3002.94</v>
      </c>
      <c r="C1067" s="1" t="n">
        <v>43309</v>
      </c>
      <c r="D1067" s="25" t="n">
        <v>2880.79</v>
      </c>
      <c r="E1067" s="1" t="n">
        <v>43674</v>
      </c>
      <c r="F1067" s="25" t="n"/>
      <c r="G1067" s="28">
        <f>IF(F1067="","",(F1067-D1067))</f>
        <v/>
      </c>
      <c r="H1067" s="10">
        <f>IF(F1067="","",(F1067/D1067)-1)</f>
        <v/>
      </c>
      <c r="I1067" s="75" t="n">
        <v>2850</v>
      </c>
    </row>
    <row r="1068" spans="1:23">
      <c r="A1068" s="1" t="n">
        <v>42945</v>
      </c>
      <c r="B1068" s="25" t="n">
        <v>2995.23</v>
      </c>
      <c r="C1068" s="1" t="n">
        <v>43310</v>
      </c>
      <c r="D1068" s="25" t="n">
        <v>2875.72</v>
      </c>
      <c r="E1068" s="1" t="n">
        <v>43675</v>
      </c>
      <c r="F1068" s="25" t="n"/>
      <c r="G1068" s="28">
        <f>IF(F1068="","",(F1068-D1068))</f>
        <v/>
      </c>
      <c r="H1068" s="10">
        <f>IF(F1068="","",(F1068/D1068)-1)</f>
        <v/>
      </c>
      <c r="I1068" s="75" t="n">
        <v>2850</v>
      </c>
    </row>
    <row r="1069" spans="1:23">
      <c r="A1069" s="1" t="n">
        <v>42946</v>
      </c>
      <c r="B1069" s="25" t="n">
        <v>2995.23</v>
      </c>
      <c r="C1069" s="1" t="n">
        <v>43311</v>
      </c>
      <c r="D1069" s="25" t="n">
        <v>2880.79</v>
      </c>
      <c r="E1069" s="1" t="n">
        <v>43676</v>
      </c>
      <c r="F1069" s="25" t="n"/>
      <c r="G1069" s="28">
        <f>IF(F1069="","",(F1069-D1069))</f>
        <v/>
      </c>
      <c r="H1069" s="10">
        <f>IF(F1069="","",(F1069/D1069)-1)</f>
        <v/>
      </c>
      <c r="I1069" s="75" t="n">
        <v>2850</v>
      </c>
    </row>
    <row r="1070" spans="1:23">
      <c r="A1070" s="1" t="n">
        <v>42947</v>
      </c>
      <c r="B1070" s="25" t="n">
        <v>2995.23</v>
      </c>
      <c r="C1070" s="1" t="n">
        <v>43312</v>
      </c>
      <c r="D1070" s="25" t="n">
        <v>2875.72</v>
      </c>
      <c r="E1070" s="1" t="n">
        <v>43677</v>
      </c>
      <c r="F1070" s="25" t="n"/>
      <c r="G1070" s="28">
        <f>IF(F1070="","",(F1070-D1070))</f>
        <v/>
      </c>
      <c r="H1070" s="10">
        <f>IF(F1070="","",(F1070/D1070)-1)</f>
        <v/>
      </c>
      <c r="I1070" s="75" t="n">
        <v>2850</v>
      </c>
    </row>
    <row r="1071" spans="1:23">
      <c r="A1071" s="1" t="n">
        <v>42948</v>
      </c>
      <c r="B1071" s="25" t="n">
        <v>2997.59</v>
      </c>
      <c r="C1071" s="1" t="n">
        <v>43313</v>
      </c>
      <c r="D1071" s="25" t="n">
        <v>2886.8</v>
      </c>
      <c r="E1071" s="1" t="n">
        <v>43678</v>
      </c>
      <c r="F1071" s="25" t="n"/>
      <c r="G1071" s="28">
        <f>IF(F1071="","",(F1071-D1071))</f>
        <v/>
      </c>
      <c r="H1071" s="10">
        <f>IF(F1071="","",(F1071/D1071)-1)</f>
        <v/>
      </c>
      <c r="I1071" s="75" t="n">
        <v>2850</v>
      </c>
    </row>
    <row r="1072" spans="1:23">
      <c r="A1072" s="1" t="n">
        <v>42949</v>
      </c>
      <c r="B1072" s="25" t="n">
        <v>2973.03</v>
      </c>
      <c r="C1072" s="1" t="n">
        <v>43314</v>
      </c>
      <c r="D1072" s="25" t="n">
        <v>2892.62</v>
      </c>
      <c r="E1072" s="1" t="n">
        <v>43679</v>
      </c>
      <c r="F1072" s="25" t="n"/>
      <c r="G1072" s="28">
        <f>IF(F1072="","",(F1072-D1072))</f>
        <v/>
      </c>
      <c r="H1072" s="10">
        <f>IF(F1072="","",(F1072/D1072)-1)</f>
        <v/>
      </c>
      <c r="I1072" s="75" t="n">
        <v>2850</v>
      </c>
    </row>
    <row r="1073" spans="1:23">
      <c r="A1073" s="1" t="n">
        <v>42950</v>
      </c>
      <c r="B1073" s="25" t="n">
        <v>2964.66</v>
      </c>
      <c r="C1073" s="1" t="n">
        <v>43315</v>
      </c>
      <c r="D1073" s="25" t="n">
        <v>2904.9</v>
      </c>
      <c r="E1073" s="1" t="n">
        <v>43680</v>
      </c>
      <c r="F1073" s="25" t="n"/>
      <c r="G1073" s="28">
        <f>IF(F1073="","",(F1073-D1073))</f>
        <v/>
      </c>
      <c r="H1073" s="10">
        <f>IF(F1073="","",(F1073/D1073)-1)</f>
        <v/>
      </c>
      <c r="I1073" s="75" t="n">
        <v>2850</v>
      </c>
    </row>
    <row r="1074" spans="1:23">
      <c r="A1074" s="1" t="n">
        <v>42951</v>
      </c>
      <c r="B1074" s="25" t="n">
        <v>2954.54</v>
      </c>
      <c r="C1074" s="1" t="n">
        <v>43316</v>
      </c>
      <c r="D1074" s="25" t="n">
        <v>2898.99</v>
      </c>
      <c r="E1074" s="1" t="n">
        <v>43681</v>
      </c>
      <c r="F1074" s="25" t="n"/>
      <c r="G1074" s="28">
        <f>IF(F1074="","",(F1074-D1074))</f>
        <v/>
      </c>
      <c r="H1074" s="10">
        <f>IF(F1074="","",(F1074/D1074)-1)</f>
        <v/>
      </c>
      <c r="I1074" s="75" t="n">
        <v>2850</v>
      </c>
    </row>
    <row r="1075" spans="1:23">
      <c r="A1075" s="1" t="n">
        <v>42952</v>
      </c>
      <c r="B1075" s="25" t="n">
        <v>2974.39</v>
      </c>
      <c r="C1075" s="1" t="n">
        <v>43317</v>
      </c>
      <c r="D1075" s="25" t="n">
        <v>2898.99</v>
      </c>
      <c r="E1075" s="1" t="n">
        <v>43682</v>
      </c>
      <c r="F1075" s="25" t="n"/>
      <c r="G1075" s="28">
        <f>IF(F1075="","",(F1075-D1075))</f>
        <v/>
      </c>
      <c r="H1075" s="10">
        <f>IF(F1075="","",(F1075/D1075)-1)</f>
        <v/>
      </c>
      <c r="I1075" s="75" t="n">
        <v>2850</v>
      </c>
    </row>
    <row r="1076" spans="1:23">
      <c r="A1076" s="1" t="n">
        <v>42953</v>
      </c>
      <c r="B1076" s="25" t="n">
        <v>2974.39</v>
      </c>
      <c r="C1076" s="1" t="n">
        <v>43318</v>
      </c>
      <c r="D1076" s="25" t="n">
        <v>2898.99</v>
      </c>
      <c r="E1076" s="1" t="n">
        <v>43683</v>
      </c>
      <c r="F1076" s="25" t="n"/>
      <c r="G1076" s="28">
        <f>IF(F1076="","",(F1076-D1076))</f>
        <v/>
      </c>
      <c r="H1076" s="10">
        <f>IF(F1076="","",(F1076/D1076)-1)</f>
        <v/>
      </c>
      <c r="I1076" s="75" t="n">
        <v>2850</v>
      </c>
    </row>
    <row r="1077" spans="1:23">
      <c r="A1077" s="1" t="n">
        <v>42954</v>
      </c>
      <c r="B1077" s="25" t="n">
        <v>2974.39</v>
      </c>
      <c r="C1077" s="1" t="n">
        <v>43319</v>
      </c>
      <c r="D1077" s="25" t="n">
        <v>2898.86</v>
      </c>
      <c r="E1077" s="1" t="n">
        <v>43684</v>
      </c>
      <c r="F1077" s="25" t="n"/>
      <c r="G1077" s="28">
        <f>IF(F1077="","",(F1077-D1077))</f>
        <v/>
      </c>
      <c r="H1077" s="10">
        <f>IF(F1077="","",(F1077/D1077)-1)</f>
        <v/>
      </c>
      <c r="I1077" s="75" t="n">
        <v>2850</v>
      </c>
    </row>
    <row r="1078" spans="1:23">
      <c r="A1078" s="1" t="n">
        <v>42955</v>
      </c>
      <c r="B1078" s="25" t="n">
        <v>2974.39</v>
      </c>
      <c r="C1078" s="1" t="n">
        <v>43320</v>
      </c>
      <c r="D1078" s="25" t="n">
        <v>2898.86</v>
      </c>
      <c r="E1078" s="1" t="n">
        <v>43685</v>
      </c>
      <c r="F1078" s="25" t="n"/>
      <c r="G1078" s="28">
        <f>IF(F1078="","",(F1078-D1078))</f>
        <v/>
      </c>
      <c r="H1078" s="10">
        <f>IF(F1078="","",(F1078/D1078)-1)</f>
        <v/>
      </c>
      <c r="I1078" s="75" t="n">
        <v>2850</v>
      </c>
    </row>
    <row r="1079" spans="1:23">
      <c r="A1079" s="1" t="n">
        <v>42956</v>
      </c>
      <c r="B1079" s="25" t="n">
        <v>2994.62</v>
      </c>
      <c r="C1079" s="1" t="n">
        <v>43321</v>
      </c>
      <c r="D1079" s="25" t="n">
        <v>2908.9</v>
      </c>
      <c r="E1079" s="1" t="n">
        <v>43686</v>
      </c>
      <c r="F1079" s="25" t="n"/>
      <c r="G1079" s="28">
        <f>IF(F1079="","",(F1079-D1079))</f>
        <v/>
      </c>
      <c r="H1079" s="10">
        <f>IF(F1079="","",(F1079/D1079)-1)</f>
        <v/>
      </c>
      <c r="I1079" s="75" t="n">
        <v>2850</v>
      </c>
    </row>
    <row r="1080" spans="1:23">
      <c r="A1080" s="1" t="n">
        <v>42957</v>
      </c>
      <c r="B1080" s="25" t="n">
        <v>3011.14</v>
      </c>
      <c r="C1080" s="1" t="n">
        <v>43322</v>
      </c>
      <c r="D1080" s="25" t="n">
        <v>2919.44</v>
      </c>
      <c r="E1080" s="1" t="n">
        <v>43687</v>
      </c>
      <c r="F1080" s="25" t="n"/>
      <c r="G1080" s="28">
        <f>IF(F1080="","",(F1080-D1080))</f>
        <v/>
      </c>
      <c r="H1080" s="10">
        <f>IF(F1080="","",(F1080/D1080)-1)</f>
        <v/>
      </c>
      <c r="I1080" s="75" t="n">
        <v>2850</v>
      </c>
    </row>
    <row r="1081" spans="1:23">
      <c r="A1081" s="1" t="n">
        <v>42958</v>
      </c>
      <c r="B1081" s="25" t="n">
        <v>2994.85</v>
      </c>
      <c r="C1081" s="1" t="n">
        <v>43323</v>
      </c>
      <c r="D1081" s="25" t="n">
        <v>2940.95</v>
      </c>
      <c r="E1081" s="1" t="n">
        <v>43688</v>
      </c>
      <c r="F1081" s="25" t="n"/>
      <c r="G1081" s="28">
        <f>IF(F1081="","",(F1081-D1081))</f>
        <v/>
      </c>
      <c r="H1081" s="10">
        <f>IF(F1081="","",(F1081/D1081)-1)</f>
        <v/>
      </c>
      <c r="I1081" s="75" t="n">
        <v>2850</v>
      </c>
    </row>
    <row r="1082" spans="1:23">
      <c r="A1082" s="1" t="n">
        <v>42959</v>
      </c>
      <c r="B1082" s="25" t="n">
        <v>2984.99</v>
      </c>
      <c r="C1082" s="1" t="n">
        <v>43324</v>
      </c>
      <c r="D1082" s="25" t="n">
        <v>2940.95</v>
      </c>
      <c r="E1082" s="1" t="n">
        <v>43689</v>
      </c>
      <c r="F1082" s="25" t="n"/>
      <c r="G1082" s="28">
        <f>IF(F1082="","",(F1082-D1082))</f>
        <v/>
      </c>
      <c r="H1082" s="10">
        <f>IF(F1082="","",(F1082/D1082)-1)</f>
        <v/>
      </c>
      <c r="I1082" s="75" t="n">
        <v>2850</v>
      </c>
    </row>
    <row r="1083" spans="1:23">
      <c r="A1083" s="1" t="n">
        <v>42960</v>
      </c>
      <c r="B1083" s="25" t="n">
        <v>2984.99</v>
      </c>
      <c r="C1083" s="1" t="n">
        <v>43325</v>
      </c>
      <c r="D1083" s="25" t="n">
        <v>2940.95</v>
      </c>
      <c r="E1083" s="1" t="n">
        <v>43690</v>
      </c>
      <c r="F1083" s="25" t="n"/>
      <c r="G1083" s="28">
        <f>IF(F1083="","",(F1083-D1083))</f>
        <v/>
      </c>
      <c r="H1083" s="10">
        <f>IF(F1083="","",(F1083/D1083)-1)</f>
        <v/>
      </c>
      <c r="I1083" s="75" t="n">
        <v>2850</v>
      </c>
    </row>
    <row r="1084" spans="1:23">
      <c r="A1084" s="1" t="n">
        <v>42961</v>
      </c>
      <c r="B1084" s="25" t="n">
        <v>2984.99</v>
      </c>
      <c r="C1084" s="1" t="n">
        <v>43326</v>
      </c>
      <c r="D1084" s="25" t="n">
        <v>2983.93</v>
      </c>
      <c r="E1084" s="1" t="n">
        <v>43691</v>
      </c>
      <c r="F1084" s="25" t="n"/>
      <c r="G1084" s="28">
        <f>IF(F1084="","",(F1084-D1084))</f>
        <v/>
      </c>
      <c r="H1084" s="10">
        <f>IF(F1084="","",(F1084/D1084)-1)</f>
        <v/>
      </c>
      <c r="I1084" s="75" t="n">
        <v>2850</v>
      </c>
    </row>
    <row r="1085" spans="1:23">
      <c r="A1085" s="1" t="n">
        <v>42962</v>
      </c>
      <c r="B1085" s="25" t="n">
        <v>2966.54</v>
      </c>
      <c r="C1085" s="1" t="n">
        <v>43327</v>
      </c>
      <c r="D1085" s="25" t="n">
        <v>3002.66</v>
      </c>
      <c r="E1085" s="1" t="n">
        <v>43692</v>
      </c>
      <c r="F1085" s="25" t="n"/>
      <c r="G1085" s="28">
        <f>IF(F1085="","",(F1085-D1085))</f>
        <v/>
      </c>
      <c r="H1085" s="10">
        <f>IF(F1085="","",(F1085/D1085)-1)</f>
        <v/>
      </c>
      <c r="I1085" s="75" t="n">
        <v>2850</v>
      </c>
    </row>
    <row r="1086" spans="1:23">
      <c r="A1086" s="1" t="n">
        <v>42963</v>
      </c>
      <c r="B1086" s="25" t="n">
        <v>2974.7</v>
      </c>
      <c r="C1086" s="1" t="n">
        <v>43328</v>
      </c>
      <c r="D1086" s="25" t="n">
        <v>3046.76</v>
      </c>
      <c r="E1086" s="1" t="n">
        <v>43693</v>
      </c>
      <c r="F1086" s="25" t="n"/>
      <c r="G1086" s="28">
        <f>IF(F1086="","",(F1086-D1086))</f>
        <v/>
      </c>
      <c r="H1086" s="10">
        <f>IF(F1086="","",(F1086/D1086)-1)</f>
        <v/>
      </c>
      <c r="I1086" s="75" t="n">
        <v>2850</v>
      </c>
    </row>
    <row r="1087" spans="1:23">
      <c r="A1087" s="1" t="n">
        <v>42964</v>
      </c>
      <c r="B1087" s="25" t="n">
        <v>2967.32</v>
      </c>
      <c r="C1087" s="1" t="n">
        <v>43329</v>
      </c>
      <c r="D1087" s="25" t="n">
        <v>3019.55</v>
      </c>
      <c r="E1087" s="1" t="n">
        <v>43694</v>
      </c>
      <c r="F1087" s="25" t="n"/>
      <c r="G1087" s="28">
        <f>IF(F1087="","",(F1087-D1087))</f>
        <v/>
      </c>
      <c r="H1087" s="10">
        <f>IF(F1087="","",(F1087/D1087)-1)</f>
        <v/>
      </c>
      <c r="I1087" s="75" t="n">
        <v>2850</v>
      </c>
    </row>
    <row r="1088" spans="1:23">
      <c r="A1088" s="1" t="n">
        <v>42965</v>
      </c>
      <c r="B1088" s="25" t="n">
        <v>2980.03</v>
      </c>
      <c r="C1088" s="1" t="n">
        <v>43330</v>
      </c>
      <c r="D1088" s="25" t="n">
        <v>3024.02</v>
      </c>
      <c r="E1088" s="1" t="n">
        <v>43695</v>
      </c>
      <c r="F1088" s="25" t="n"/>
      <c r="G1088" s="28">
        <f>IF(F1088="","",(F1088-D1088))</f>
        <v/>
      </c>
      <c r="H1088" s="10">
        <f>IF(F1088="","",(F1088/D1088)-1)</f>
        <v/>
      </c>
      <c r="I1088" s="75" t="n">
        <v>2850</v>
      </c>
    </row>
    <row r="1089" spans="1:23">
      <c r="A1089" s="1" t="n">
        <v>42966</v>
      </c>
      <c r="B1089" s="25" t="n">
        <v>2994.39</v>
      </c>
      <c r="C1089" s="1" t="n">
        <v>43331</v>
      </c>
      <c r="D1089" s="25" t="n">
        <v>3024.02</v>
      </c>
      <c r="E1089" s="1" t="n">
        <v>43696</v>
      </c>
      <c r="F1089" s="25" t="n"/>
      <c r="G1089" s="28">
        <f>IF(F1089="","",(F1089-D1089))</f>
        <v/>
      </c>
      <c r="H1089" s="10">
        <f>IF(F1089="","",(F1089/D1089)-1)</f>
        <v/>
      </c>
      <c r="I1089" s="75" t="n">
        <v>2850</v>
      </c>
    </row>
    <row r="1090" spans="1:23">
      <c r="A1090" s="1" t="n">
        <v>42967</v>
      </c>
      <c r="B1090" s="25" t="n">
        <v>2994.39</v>
      </c>
      <c r="C1090" s="1" t="n">
        <v>43332</v>
      </c>
      <c r="D1090" s="25" t="n">
        <v>3024.02</v>
      </c>
      <c r="E1090" s="1" t="n">
        <v>43697</v>
      </c>
      <c r="F1090" s="25" t="n"/>
      <c r="G1090" s="28">
        <f>IF(F1090="","",(F1090-D1090))</f>
        <v/>
      </c>
      <c r="H1090" s="10">
        <f>IF(F1090="","",(F1090/D1090)-1)</f>
        <v/>
      </c>
      <c r="I1090" s="75" t="n">
        <v>2850</v>
      </c>
    </row>
    <row r="1091" spans="1:23">
      <c r="A1091" s="1" t="n">
        <v>42968</v>
      </c>
      <c r="B1091" s="25" t="n">
        <v>2994.39</v>
      </c>
      <c r="C1091" s="1" t="n">
        <v>43333</v>
      </c>
      <c r="D1091" s="25" t="n">
        <v>3024.02</v>
      </c>
      <c r="E1091" s="1" t="n">
        <v>43698</v>
      </c>
      <c r="F1091" s="25" t="n"/>
      <c r="G1091" s="28">
        <f>IF(F1091="","",(F1091-D1091))</f>
        <v/>
      </c>
      <c r="H1091" s="10">
        <f>IF(F1091="","",(F1091/D1091)-1)</f>
        <v/>
      </c>
      <c r="I1091" s="75" t="n">
        <v>2850</v>
      </c>
    </row>
    <row r="1092" spans="1:23">
      <c r="A1092" s="1" t="n">
        <v>42969</v>
      </c>
      <c r="B1092" s="25" t="n">
        <v>2994.39</v>
      </c>
      <c r="C1092" s="1" t="n">
        <v>43334</v>
      </c>
      <c r="D1092" s="25" t="n">
        <v>2990.78</v>
      </c>
      <c r="E1092" s="1" t="n">
        <v>43699</v>
      </c>
      <c r="F1092" s="25" t="n"/>
      <c r="G1092" s="28">
        <f>IF(F1092="","",(F1092-D1092))</f>
        <v/>
      </c>
      <c r="H1092" s="10">
        <f>IF(F1092="","",(F1092/D1092)-1)</f>
        <v/>
      </c>
      <c r="I1092" s="75" t="n">
        <v>2850</v>
      </c>
    </row>
    <row r="1093" spans="1:23">
      <c r="A1093" s="1" t="n">
        <v>42970</v>
      </c>
      <c r="B1093" s="25" t="n">
        <v>2986.83</v>
      </c>
      <c r="C1093" s="1" t="n">
        <v>43335</v>
      </c>
      <c r="D1093" s="25" t="n">
        <v>2965.45</v>
      </c>
      <c r="E1093" s="1" t="n">
        <v>43700</v>
      </c>
      <c r="F1093" s="25" t="n"/>
      <c r="G1093" s="28">
        <f>IF(F1093="","",(F1093-D1093))</f>
        <v/>
      </c>
      <c r="H1093" s="10">
        <f>IF(F1093="","",(F1093/D1093)-1)</f>
        <v/>
      </c>
      <c r="I1093" s="75" t="n">
        <v>2850</v>
      </c>
    </row>
    <row r="1094" spans="1:23">
      <c r="A1094" s="1" t="n">
        <v>42971</v>
      </c>
      <c r="B1094" s="25" t="n">
        <v>2986.88</v>
      </c>
      <c r="C1094" s="1" t="n">
        <v>43336</v>
      </c>
      <c r="D1094" s="25" t="n">
        <v>2980.64</v>
      </c>
      <c r="E1094" s="1" t="n">
        <v>43701</v>
      </c>
      <c r="F1094" s="25" t="n"/>
      <c r="G1094" s="28">
        <f>IF(F1094="","",(F1094-D1094))</f>
        <v/>
      </c>
      <c r="H1094" s="10">
        <f>IF(F1094="","",(F1094/D1094)-1)</f>
        <v/>
      </c>
      <c r="I1094" s="75" t="n">
        <v>2850</v>
      </c>
    </row>
    <row r="1095" spans="1:23">
      <c r="A1095" s="1" t="n">
        <v>42972</v>
      </c>
      <c r="B1095" s="25" t="n">
        <v>2972.98</v>
      </c>
      <c r="C1095" s="1" t="n">
        <v>43337</v>
      </c>
      <c r="D1095" s="25" t="n">
        <v>2958.45</v>
      </c>
      <c r="E1095" s="1" t="n">
        <v>43702</v>
      </c>
      <c r="F1095" s="25" t="n"/>
      <c r="G1095" s="28">
        <f>IF(F1095="","",(F1095-D1095))</f>
        <v/>
      </c>
      <c r="H1095" s="10">
        <f>IF(F1095="","",(F1095/D1095)-1)</f>
        <v/>
      </c>
      <c r="I1095" s="75" t="n">
        <v>2850</v>
      </c>
    </row>
    <row r="1096" spans="1:23">
      <c r="A1096" s="1" t="n">
        <v>42973</v>
      </c>
      <c r="B1096" s="25" t="n">
        <v>2933.96</v>
      </c>
      <c r="C1096" s="1" t="n">
        <v>43338</v>
      </c>
      <c r="D1096" s="25" t="n">
        <v>2958.45</v>
      </c>
      <c r="E1096" s="1" t="n">
        <v>43703</v>
      </c>
      <c r="F1096" s="25" t="n"/>
      <c r="G1096" s="28">
        <f>IF(F1096="","",(F1096-D1096))</f>
        <v/>
      </c>
      <c r="H1096" s="10">
        <f>IF(F1096="","",(F1096/D1096)-1)</f>
        <v/>
      </c>
      <c r="I1096" s="75" t="n">
        <v>2850</v>
      </c>
    </row>
    <row r="1097" spans="1:23">
      <c r="A1097" s="1" t="n">
        <v>42974</v>
      </c>
      <c r="B1097" s="25" t="n">
        <v>2933.96</v>
      </c>
      <c r="C1097" s="1" t="n">
        <v>43339</v>
      </c>
      <c r="D1097" s="25" t="n">
        <v>2958.45</v>
      </c>
      <c r="E1097" s="1" t="n">
        <v>43704</v>
      </c>
      <c r="F1097" s="25" t="n"/>
      <c r="G1097" s="28">
        <f>IF(F1097="","",(F1097-D1097))</f>
        <v/>
      </c>
      <c r="H1097" s="10">
        <f>IF(F1097="","",(F1097/D1097)-1)</f>
        <v/>
      </c>
      <c r="I1097" s="75" t="n">
        <v>2850</v>
      </c>
    </row>
    <row r="1098" spans="1:23">
      <c r="A1098" s="1" t="n">
        <v>42975</v>
      </c>
      <c r="B1098" s="25" t="n">
        <v>2933.96</v>
      </c>
      <c r="C1098" s="1" t="n">
        <v>43340</v>
      </c>
      <c r="D1098" s="25" t="n">
        <v>2934.31</v>
      </c>
      <c r="E1098" s="1" t="n">
        <v>43705</v>
      </c>
      <c r="F1098" s="25" t="n"/>
      <c r="G1098" s="28">
        <f>IF(F1098="","",(F1098-D1098))</f>
        <v/>
      </c>
      <c r="H1098" s="10">
        <f>IF(F1098="","",(F1098/D1098)-1)</f>
        <v/>
      </c>
      <c r="I1098" s="75" t="n">
        <v>2850</v>
      </c>
    </row>
    <row r="1099" spans="1:23">
      <c r="A1099" s="1" t="n">
        <v>42976</v>
      </c>
      <c r="B1099" s="25" t="n">
        <v>2934.23</v>
      </c>
      <c r="C1099" s="1" t="n">
        <v>43341</v>
      </c>
      <c r="D1099" s="25" t="n">
        <v>2966</v>
      </c>
      <c r="E1099" s="1" t="n">
        <v>43706</v>
      </c>
      <c r="F1099" s="69" t="n"/>
      <c r="G1099" s="28">
        <f>IF(F1099="","",(F1099-D1099))</f>
        <v/>
      </c>
      <c r="H1099" s="10">
        <f>IF(F1099="","",(F1099/D1099)-1)</f>
        <v/>
      </c>
      <c r="I1099" s="75" t="n">
        <v>2850</v>
      </c>
    </row>
    <row r="1100" spans="1:23">
      <c r="A1100" s="1" t="n">
        <v>42977</v>
      </c>
      <c r="B1100" s="25" t="n">
        <v>2940.35</v>
      </c>
      <c r="C1100" s="1" t="n">
        <v>43342</v>
      </c>
      <c r="D1100" s="25" t="n">
        <v>2999.57</v>
      </c>
      <c r="E1100" s="1" t="n">
        <v>43707</v>
      </c>
      <c r="F1100" s="69" t="n"/>
      <c r="G1100" s="28">
        <f>IF(F1100="","",(F1100-D1100))</f>
        <v/>
      </c>
      <c r="H1100" s="10">
        <f>IF(F1100="","",(F1100/D1100)-1)</f>
        <v/>
      </c>
      <c r="I1100" s="75" t="n">
        <v>2850</v>
      </c>
    </row>
    <row r="1101" spans="1:23">
      <c r="A1101" s="1" t="n">
        <v>42978</v>
      </c>
      <c r="B1101" s="25" t="n">
        <v>2937.09</v>
      </c>
      <c r="C1101" s="1" t="n">
        <v>43343</v>
      </c>
      <c r="D1101" s="25" t="n">
        <v>3027.39</v>
      </c>
      <c r="E1101" s="1" t="n">
        <v>43708</v>
      </c>
      <c r="F1101" s="69" t="n"/>
      <c r="G1101" s="28">
        <f>IF(F1101="","",(F1101-D1101))</f>
        <v/>
      </c>
      <c r="H1101" s="10">
        <f>IF(F1101="","",(F1101/D1101)-1)</f>
        <v/>
      </c>
      <c r="I1101" s="75" t="n">
        <v>2850</v>
      </c>
    </row>
  </sheetData>
  <mergeCells count="9">
    <mergeCell ref="T2:X2"/>
    <mergeCell ref="R2:R3"/>
    <mergeCell ref="G4:H4"/>
    <mergeCell ref="C4:D4"/>
    <mergeCell ref="A4:B4"/>
    <mergeCell ref="E4:F4"/>
    <mergeCell ref="A1:I3"/>
    <mergeCell ref="J1:M1"/>
    <mergeCell ref="N1:Q1"/>
  </mergeCells>
  <conditionalFormatting sqref="B6:B65">
    <cfRule dxfId="0" priority="5914" type="expression">
      <formula>MOD(ROW( B6:H493),2)=0</formula>
    </cfRule>
  </conditionalFormatting>
  <conditionalFormatting sqref="A464">
    <cfRule dxfId="14" operator="between" priority="5917" type="cellIs">
      <formula>#REF!</formula>
      <formula>"$U$490"</formula>
    </cfRule>
  </conditionalFormatting>
  <conditionalFormatting sqref="AC9:XEO493">
    <cfRule dxfId="0" priority="5943" type="expression">
      <formula>MOD(ROW( AC5:AH496),AI7)=0</formula>
    </cfRule>
  </conditionalFormatting>
  <conditionalFormatting sqref="B66:B491">
    <cfRule dxfId="0" priority="4825" type="expression">
      <formula>MOD(ROW( B66:H552),2)=0</formula>
    </cfRule>
  </conditionalFormatting>
  <conditionalFormatting sqref="AC6:XEO6">
    <cfRule dxfId="0" priority="6023" type="expression">
      <formula>MOD(ROW( AC4:AH494),#REF!)=0</formula>
    </cfRule>
  </conditionalFormatting>
  <conditionalFormatting sqref="AC7:XEO7">
    <cfRule dxfId="0" priority="6025" type="expression">
      <formula>MOD(ROW( AC4:AH494),#REF!)=0</formula>
    </cfRule>
  </conditionalFormatting>
  <conditionalFormatting sqref="A6:A65 A553:A858">
    <cfRule dxfId="0" priority="6062" type="expression">
      <formula>MOD(ROW( D6:XFB493),2)=0</formula>
    </cfRule>
  </conditionalFormatting>
  <conditionalFormatting sqref="AA9:AB493">
    <cfRule dxfId="0" priority="6068" type="expression">
      <formula>MOD(ROW( Z5:AB496),AC7)=0</formula>
    </cfRule>
  </conditionalFormatting>
  <conditionalFormatting sqref="W9:Z493">
    <cfRule dxfId="0" priority="6069" type="expression">
      <formula>MOD(ROW( V5:AB496),#REF!)=0</formula>
    </cfRule>
  </conditionalFormatting>
  <conditionalFormatting sqref="AC8:XEO8">
    <cfRule dxfId="0" priority="6087" type="expression">
      <formula>MOD(ROW( AC5:AH495),AI5)=0</formula>
    </cfRule>
  </conditionalFormatting>
  <conditionalFormatting sqref="AA8:AB8">
    <cfRule dxfId="0" priority="6088" type="expression">
      <formula>MOD(ROW( Z5:AB495),AC5)=0</formula>
    </cfRule>
  </conditionalFormatting>
  <conditionalFormatting sqref="W8:Z8">
    <cfRule dxfId="0" priority="6089" type="expression">
      <formula>MOD(ROW( V5:AB495),#REF!)=0</formula>
    </cfRule>
  </conditionalFormatting>
  <conditionalFormatting sqref="AC5:XEO5">
    <cfRule dxfId="0" priority="6091" type="expression">
      <formula>MOD(ROW( AC5:AH493),AI4)=0</formula>
    </cfRule>
  </conditionalFormatting>
  <conditionalFormatting sqref="AA5:AB5">
    <cfRule dxfId="0" priority="6092" type="expression">
      <formula>MOD(ROW( Z5:AB493),AC4)=0</formula>
    </cfRule>
  </conditionalFormatting>
  <conditionalFormatting sqref="W5:Z5">
    <cfRule dxfId="0" priority="6093" type="expression">
      <formula>MOD(ROW( V5:AB493),#REF!)=0</formula>
    </cfRule>
  </conditionalFormatting>
  <conditionalFormatting sqref="L5:L736">
    <cfRule dxfId="0" priority="2202" type="expression">
      <formula>MOD(ROW( G5:O492),2)=0</formula>
    </cfRule>
  </conditionalFormatting>
  <conditionalFormatting sqref="M5:M736">
    <cfRule dxfId="0" priority="2198" type="expression">
      <formula>MOD(ROW( C5:Q491),2)=0</formula>
    </cfRule>
  </conditionalFormatting>
  <conditionalFormatting sqref="A5:A6">
    <cfRule dxfId="0" priority="6222" type="expression">
      <formula>MOD(ROW( A3:H493),#REF!)=0</formula>
    </cfRule>
  </conditionalFormatting>
  <conditionalFormatting sqref="A6:A7">
    <cfRule dxfId="0" priority="6223" type="expression">
      <formula>MOD(ROW( A3:H493),#REF!)=0</formula>
    </cfRule>
  </conditionalFormatting>
  <conditionalFormatting sqref="XFB7:XFB493">
    <cfRule dxfId="0" priority="6300" type="expression">
      <formula>MOD(ROW( L7:XFB494),2)=0</formula>
    </cfRule>
  </conditionalFormatting>
  <conditionalFormatting sqref="XFB5:XFB6">
    <cfRule dxfId="0" priority="6305" type="expression">
      <formula>MOD(ROW( L5:XFB493),2)=0</formula>
    </cfRule>
  </conditionalFormatting>
  <conditionalFormatting sqref="A6">
    <cfRule dxfId="0" priority="6306" type="expression">
      <formula>MOD(ROW( D6:XFB494),2)=0</formula>
    </cfRule>
  </conditionalFormatting>
  <conditionalFormatting sqref="A9:A65">
    <cfRule dxfId="0" priority="6468" type="expression">
      <formula>MOD(ROW( A6:H496),J7)=0</formula>
    </cfRule>
  </conditionalFormatting>
  <conditionalFormatting sqref="A8">
    <cfRule dxfId="0" priority="6469" type="expression">
      <formula>MOD(ROW( A4:H495),J5)=0</formula>
    </cfRule>
  </conditionalFormatting>
  <conditionalFormatting sqref="A66:A493">
    <cfRule dxfId="0" priority="6484" type="expression">
      <formula>MOD(ROW( A63:H552),J64)=0</formula>
    </cfRule>
  </conditionalFormatting>
  <conditionalFormatting sqref="A8:A9">
    <cfRule dxfId="0" priority="6769" type="expression">
      <formula>MOD(ROW( A4:H495),J6)=0</formula>
    </cfRule>
  </conditionalFormatting>
  <conditionalFormatting sqref="B5:B6">
    <cfRule dxfId="0" priority="6775" type="expression">
      <formula>MOD(ROW( B5:H493),2)=0</formula>
    </cfRule>
  </conditionalFormatting>
  <conditionalFormatting sqref="C6 C553:C1101">
    <cfRule dxfId="0" priority="6781" type="expression">
      <formula>MOD(ROW( H6:XFD493),2)=0</formula>
    </cfRule>
  </conditionalFormatting>
  <conditionalFormatting sqref="C7:C65">
    <cfRule dxfId="0" priority="6797" type="expression">
      <formula>MOD(ROW( A7:H494),2)=0</formula>
    </cfRule>
  </conditionalFormatting>
  <conditionalFormatting sqref="C66:C552">
    <cfRule dxfId="0" priority="6798" type="expression">
      <formula>MOD(ROW( A66:H552),2)=0</formula>
    </cfRule>
  </conditionalFormatting>
  <conditionalFormatting sqref="C5">
    <cfRule dxfId="0" priority="6799" type="expression">
      <formula>MOD(ROW( A5:H493),2)=0</formula>
    </cfRule>
  </conditionalFormatting>
  <conditionalFormatting sqref="B7:B65">
    <cfRule dxfId="0" priority="6805" type="expression">
      <formula>MOD(ROW( A7:E494),2)=0</formula>
    </cfRule>
  </conditionalFormatting>
  <conditionalFormatting sqref="A7:A65">
    <cfRule dxfId="0" priority="6806" type="expression">
      <formula>MOD(ROW( D7:XFD494),2)=0</formula>
    </cfRule>
  </conditionalFormatting>
  <conditionalFormatting sqref="B5">
    <cfRule dxfId="0" priority="6807" type="expression">
      <formula>MOD(ROW( A5:E493),2)=0</formula>
    </cfRule>
  </conditionalFormatting>
  <conditionalFormatting sqref="A5">
    <cfRule dxfId="0" priority="6808" type="expression">
      <formula>MOD(ROW( D5:XFD493),2)=0</formula>
    </cfRule>
  </conditionalFormatting>
  <conditionalFormatting sqref="B66:B552">
    <cfRule dxfId="0" priority="6809" type="expression">
      <formula>MOD(ROW( A66:E552),2)=0</formula>
    </cfRule>
  </conditionalFormatting>
  <conditionalFormatting sqref="A66:A552">
    <cfRule dxfId="0" priority="6810" type="expression">
      <formula>MOD(ROW( D66:XFD552),2)=0</formula>
    </cfRule>
  </conditionalFormatting>
  <conditionalFormatting sqref="B6:B65 B553:B850">
    <cfRule dxfId="0" priority="6811" type="expression">
      <formula>MOD(ROW( G6:XFD493),2)=0</formula>
    </cfRule>
  </conditionalFormatting>
  <conditionalFormatting sqref="B6">
    <cfRule dxfId="0" priority="6815" type="expression">
      <formula>MOD(ROW( G6:XFD494),2)=0</formula>
    </cfRule>
  </conditionalFormatting>
  <conditionalFormatting sqref="F911:F1101 D911:D1101">
    <cfRule dxfId="0" priority="6824" type="expression">
      <formula>MOD(ROW( A911:J1101),2)=0</formula>
    </cfRule>
  </conditionalFormatting>
  <conditionalFormatting sqref="D737:D880 F737:F740 F742:F770 F772:F855 F857 F861:F880">
    <cfRule dxfId="0" priority="6826" type="expression">
      <formula>MOD(ROW( A737:J1101),2)=0</formula>
    </cfRule>
  </conditionalFormatting>
  <conditionalFormatting sqref="A918:A931">
    <cfRule dxfId="0" priority="6830" type="expression">
      <formula>MOD(ROW( D918:XFA1101),2)=0</formula>
    </cfRule>
  </conditionalFormatting>
  <conditionalFormatting sqref="A933:A994">
    <cfRule dxfId="0" priority="6831" type="expression">
      <formula>MOD(ROW( D933:XFA1101),2)=0</formula>
    </cfRule>
  </conditionalFormatting>
  <conditionalFormatting sqref="A996:A1022">
    <cfRule dxfId="0" priority="6832" type="expression">
      <formula>MOD(ROW( D996:XFA1101),2)=0</formula>
    </cfRule>
  </conditionalFormatting>
  <conditionalFormatting sqref="A1024:A1051">
    <cfRule dxfId="0" priority="6833" type="expression">
      <formula>MOD(ROW( D1024:XFA1101),2)=0</formula>
    </cfRule>
  </conditionalFormatting>
  <conditionalFormatting sqref="A1054:A1101">
    <cfRule dxfId="0" priority="6834" type="expression">
      <formula>MOD(ROW( D1054:XFA1101),2)=0</formula>
    </cfRule>
  </conditionalFormatting>
  <conditionalFormatting sqref="A932">
    <cfRule dxfId="0" priority="7109" type="expression">
      <formula>MOD(ROW( D932:XFA1101),2)=0</formula>
    </cfRule>
  </conditionalFormatting>
  <conditionalFormatting sqref="A995">
    <cfRule dxfId="0" priority="7179" type="expression">
      <formula>MOD(ROW( D995:XFA1101),2)=0</formula>
    </cfRule>
  </conditionalFormatting>
  <conditionalFormatting sqref="A1023">
    <cfRule dxfId="0" priority="7208" type="expression">
      <formula>MOD(ROW( D1023:XFA1101),2)=0</formula>
    </cfRule>
  </conditionalFormatting>
  <conditionalFormatting sqref="A1052:A1053">
    <cfRule dxfId="0" priority="7225" type="expression">
      <formula>MOD(ROW( D1052:XFA1101),2)=0</formula>
    </cfRule>
  </conditionalFormatting>
  <conditionalFormatting sqref="A859:A917">
    <cfRule dxfId="0" priority="7263" type="expression">
      <formula>MOD(ROW( D859:XFB1101),2)=0</formula>
    </cfRule>
  </conditionalFormatting>
  <conditionalFormatting sqref="F882:F1098">
    <cfRule dxfId="0" priority="7264" type="expression">
      <formula>MOD(ROW( A882:L1101),2)=0</formula>
    </cfRule>
  </conditionalFormatting>
  <conditionalFormatting sqref="D881 F881">
    <cfRule dxfId="0" priority="7265" type="expression">
      <formula>MOD(ROW( A879:J1101),2)=0</formula>
    </cfRule>
  </conditionalFormatting>
  <conditionalFormatting sqref="E737:E1101">
    <cfRule dxfId="0" priority="7269" type="expression">
      <formula>MOD(ROW( A737:K1101),2)=0</formula>
    </cfRule>
  </conditionalFormatting>
  <conditionalFormatting sqref="B856:B858">
    <cfRule dxfId="0" priority="7271" type="expression">
      <formula>MOD(ROW( G856:XFD1101),2)=0</formula>
    </cfRule>
  </conditionalFormatting>
  <conditionalFormatting sqref="B918:B1101">
    <cfRule dxfId="0" priority="7273" type="expression">
      <formula>MOD(ROW( G918:XFD1101),2)=0</formula>
    </cfRule>
  </conditionalFormatting>
  <conditionalFormatting sqref="B859:B917">
    <cfRule dxfId="0" priority="7274" type="expression">
      <formula>MOD(ROW( G859:XFD1101),2)=0</formula>
    </cfRule>
  </conditionalFormatting>
  <conditionalFormatting sqref="B851:B855">
    <cfRule dxfId="0" priority="7275" type="expression">
      <formula>MOD(ROW( G851:XFD1101),2)=0</formula>
    </cfRule>
  </conditionalFormatting>
  <conditionalFormatting sqref="F741">
    <cfRule dxfId="0" priority="521" type="expression">
      <formula>MOD(ROW( C741:L1105),2)=0</formula>
    </cfRule>
  </conditionalFormatting>
  <conditionalFormatting sqref="F751">
    <cfRule dxfId="0" priority="473" type="expression">
      <formula>MOD(ROW( C751:L1115),2)=0</formula>
    </cfRule>
  </conditionalFormatting>
  <conditionalFormatting sqref="F769">
    <cfRule dxfId="0" priority="391" type="expression">
      <formula>MOD(ROW( C769:L1133),2)=0</formula>
    </cfRule>
  </conditionalFormatting>
  <conditionalFormatting sqref="F771">
    <cfRule dxfId="0" priority="371" type="expression">
      <formula>MOD(ROW( C771:L1135),2)=0</formula>
    </cfRule>
  </conditionalFormatting>
  <conditionalFormatting sqref="D7:F65">
    <cfRule dxfId="0" priority="7276" type="expression">
      <formula>MOD(ROW( D7:K494),2)=0</formula>
    </cfRule>
  </conditionalFormatting>
  <conditionalFormatting sqref="G7:I65 G601:I615 N5:P736">
    <cfRule dxfId="0" priority="7277" type="expression">
      <formula>MOD(ROW( G5:J492),2)=0</formula>
    </cfRule>
  </conditionalFormatting>
  <conditionalFormatting sqref="G5:I6">
    <cfRule dxfId="0" priority="7280" type="expression">
      <formula>MOD(ROW( G5:J493),2)=0</formula>
    </cfRule>
    <cfRule dxfId="0" priority="7355" type="expression">
      <formula>MOD(ROW( B5:K493),2)=0</formula>
    </cfRule>
  </conditionalFormatting>
  <conditionalFormatting sqref="D7:F461 D553:F632">
    <cfRule dxfId="0" priority="7281" type="expression">
      <formula>MOD(ROW( A7:J494),2)=0</formula>
    </cfRule>
  </conditionalFormatting>
  <conditionalFormatting sqref="D66:F119">
    <cfRule dxfId="0" priority="7283" type="expression">
      <formula>MOD(ROW( D66:K552),2)=0</formula>
    </cfRule>
  </conditionalFormatting>
  <conditionalFormatting sqref="G66:I600">
    <cfRule dxfId="0" priority="7284" type="expression">
      <formula>MOD(ROW( G66:J552),2)=0</formula>
    </cfRule>
  </conditionalFormatting>
  <conditionalFormatting sqref="D462:F552">
    <cfRule dxfId="0" priority="7285" type="expression">
      <formula>MOD(ROW( A462:J948),2)=0</formula>
    </cfRule>
  </conditionalFormatting>
  <conditionalFormatting sqref="K5:K736">
    <cfRule dxfId="0" priority="7340" type="expression">
      <formula>MOD(ROW( G5:N492),2)=0</formula>
    </cfRule>
  </conditionalFormatting>
  <conditionalFormatting sqref="D5:F6">
    <cfRule dxfId="0" priority="7342" type="expression">
      <formula>MOD(ROW( A5:J493),2)=0</formula>
    </cfRule>
  </conditionalFormatting>
  <conditionalFormatting sqref="G7:I461 G601:I736 G737:H1101">
    <cfRule dxfId="0" priority="7345" type="expression">
      <formula>MOD(ROW( B7:K494),2)=0</formula>
    </cfRule>
  </conditionalFormatting>
  <conditionalFormatting sqref="G462:I600">
    <cfRule dxfId="0" priority="7350" type="expression">
      <formula>MOD(ROW( B462:K948),2)=0</formula>
    </cfRule>
  </conditionalFormatting>
  <conditionalFormatting sqref="J5:J736">
    <cfRule dxfId="0" priority="7365" type="expression">
      <formula>MOD(ROW( M5:XFD492),2)=0</formula>
    </cfRule>
  </conditionalFormatting>
  <conditionalFormatting sqref="G616:I650">
    <cfRule dxfId="0" priority="7366" type="expression">
      <formula>MOD(ROW( G616:J1101),2)=0</formula>
    </cfRule>
  </conditionalFormatting>
  <conditionalFormatting sqref="G657:I688">
    <cfRule dxfId="0" priority="7367" type="expression">
      <formula>MOD(ROW( G657:J1101),2)=0</formula>
    </cfRule>
  </conditionalFormatting>
  <conditionalFormatting sqref="G706:I736 G737:H1101">
    <cfRule dxfId="0" priority="7368" type="expression">
      <formula>MOD(ROW( G706:J1101),2)=0</formula>
    </cfRule>
  </conditionalFormatting>
  <conditionalFormatting sqref="D634:F634">
    <cfRule dxfId="0" priority="7372" type="expression">
      <formula>MOD(ROW( A634:J1101),2)=0</formula>
    </cfRule>
  </conditionalFormatting>
  <conditionalFormatting sqref="D636:F736">
    <cfRule dxfId="0" priority="7374" type="expression">
      <formula>MOD(ROW( A636:J1101),2)=0</formula>
    </cfRule>
  </conditionalFormatting>
  <conditionalFormatting sqref="G651:I652">
    <cfRule dxfId="0" priority="7378" type="expression">
      <formula>MOD(ROW( G651:J1101),2)=0</formula>
    </cfRule>
  </conditionalFormatting>
  <conditionalFormatting sqref="G653:I653">
    <cfRule dxfId="0" priority="7379" type="expression">
      <formula>MOD(ROW( G653:J1101),2)=0</formula>
    </cfRule>
  </conditionalFormatting>
  <conditionalFormatting sqref="G654:I656">
    <cfRule dxfId="0" priority="7380" type="expression">
      <formula>MOD(ROW( G654:J1101),2)=0</formula>
    </cfRule>
  </conditionalFormatting>
  <conditionalFormatting sqref="G689:I689">
    <cfRule dxfId="0" priority="7381" type="expression">
      <formula>MOD(ROW( G689:J1101),2)=0</formula>
    </cfRule>
  </conditionalFormatting>
  <conditionalFormatting sqref="G690:I690">
    <cfRule dxfId="0" priority="7382" type="expression">
      <formula>MOD(ROW( G690:J1101),2)=0</formula>
    </cfRule>
  </conditionalFormatting>
  <conditionalFormatting sqref="G691:I691">
    <cfRule dxfId="0" priority="7383" type="expression">
      <formula>MOD(ROW( G691:J1101),2)=0</formula>
    </cfRule>
  </conditionalFormatting>
  <conditionalFormatting sqref="G692:I692">
    <cfRule dxfId="0" priority="7384" type="expression">
      <formula>MOD(ROW( G692:J1101),2)=0</formula>
    </cfRule>
  </conditionalFormatting>
  <conditionalFormatting sqref="G693:I693">
    <cfRule dxfId="0" priority="7385" type="expression">
      <formula>MOD(ROW( G693:J1101),2)=0</formula>
    </cfRule>
  </conditionalFormatting>
  <conditionalFormatting sqref="G694:I694">
    <cfRule dxfId="0" priority="7386" type="expression">
      <formula>MOD(ROW( G694:J1101),2)=0</formula>
    </cfRule>
  </conditionalFormatting>
  <conditionalFormatting sqref="G695:I695">
    <cfRule dxfId="0" priority="7387" type="expression">
      <formula>MOD(ROW( G695:J1101),2)=0</formula>
    </cfRule>
  </conditionalFormatting>
  <conditionalFormatting sqref="G696:I696">
    <cfRule dxfId="0" priority="7388" type="expression">
      <formula>MOD(ROW( G696:J1101),2)=0</formula>
    </cfRule>
  </conditionalFormatting>
  <conditionalFormatting sqref="G697:I697">
    <cfRule dxfId="0" priority="7389" type="expression">
      <formula>MOD(ROW( G697:J1101),2)=0</formula>
    </cfRule>
  </conditionalFormatting>
  <conditionalFormatting sqref="G698:I698">
    <cfRule dxfId="0" priority="7390" type="expression">
      <formula>MOD(ROW( G698:J1101),2)=0</formula>
    </cfRule>
  </conditionalFormatting>
  <conditionalFormatting sqref="G699:I699">
    <cfRule dxfId="0" priority="7391" type="expression">
      <formula>MOD(ROW( G699:J1101),2)=0</formula>
    </cfRule>
  </conditionalFormatting>
  <conditionalFormatting sqref="G700:I700">
    <cfRule dxfId="0" priority="7392" type="expression">
      <formula>MOD(ROW( G700:J1101),2)=0</formula>
    </cfRule>
  </conditionalFormatting>
  <conditionalFormatting sqref="G701:I701">
    <cfRule dxfId="0" priority="7393" type="expression">
      <formula>MOD(ROW( G701:J1101),2)=0</formula>
    </cfRule>
  </conditionalFormatting>
  <conditionalFormatting sqref="G702:I702">
    <cfRule dxfId="0" priority="7394" type="expression">
      <formula>MOD(ROW( G702:J1101),2)=0</formula>
    </cfRule>
  </conditionalFormatting>
  <conditionalFormatting sqref="G703:I705">
    <cfRule dxfId="0" priority="7395" type="expression">
      <formula>MOD(ROW( G703:J1101),2)=0</formula>
    </cfRule>
  </conditionalFormatting>
  <conditionalFormatting sqref="G755:H755">
    <cfRule dxfId="0" priority="7396" type="expression">
      <formula>MOD(ROW( G755:J1101),2)=0</formula>
    </cfRule>
  </conditionalFormatting>
  <conditionalFormatting sqref="G759:H759">
    <cfRule dxfId="0" priority="7397" type="expression">
      <formula>MOD(ROW( G759:J1101),2)=0</formula>
    </cfRule>
  </conditionalFormatting>
  <conditionalFormatting sqref="G760:H760">
    <cfRule dxfId="0" priority="7398" type="expression">
      <formula>MOD(ROW( G760:J1101),2)=0</formula>
    </cfRule>
  </conditionalFormatting>
  <conditionalFormatting sqref="G761:H762">
    <cfRule dxfId="0" priority="7399" type="expression">
      <formula>MOD(ROW( G761:J1101),2)=0</formula>
    </cfRule>
  </conditionalFormatting>
  <conditionalFormatting sqref="G762:H762">
    <cfRule dxfId="0" priority="7400" type="expression">
      <formula>MOD(ROW( G762:J1101),2)=0</formula>
    </cfRule>
  </conditionalFormatting>
  <conditionalFormatting sqref="G763:H767">
    <cfRule dxfId="0" priority="7401" type="expression">
      <formula>MOD(ROW( G763:J1101),2)=0</formula>
    </cfRule>
  </conditionalFormatting>
  <conditionalFormatting sqref="G764:H767">
    <cfRule dxfId="0" priority="7402" type="expression">
      <formula>MOD(ROW( G764:J1101),2)=0</formula>
    </cfRule>
  </conditionalFormatting>
  <conditionalFormatting sqref="G765:H765">
    <cfRule dxfId="0" priority="7403" type="expression">
      <formula>MOD(ROW( G765:J1101),2)=0</formula>
    </cfRule>
  </conditionalFormatting>
  <conditionalFormatting sqref="G766:H766">
    <cfRule dxfId="0" priority="7404" type="expression">
      <formula>MOD(ROW( G766:J1101),2)=0</formula>
    </cfRule>
  </conditionalFormatting>
  <conditionalFormatting sqref="G767:H767">
    <cfRule dxfId="0" priority="7405" type="expression">
      <formula>MOD(ROW( G767:J1101),2)=0</formula>
    </cfRule>
  </conditionalFormatting>
  <conditionalFormatting sqref="G768:H769">
    <cfRule dxfId="0" priority="7406" type="expression">
      <formula>MOD(ROW( G768:J1101),2)=0</formula>
    </cfRule>
  </conditionalFormatting>
  <conditionalFormatting sqref="G770:H819">
    <cfRule dxfId="0" priority="7407" type="expression">
      <formula>MOD(ROW( G770:J1101),2)=0</formula>
    </cfRule>
  </conditionalFormatting>
  <conditionalFormatting sqref="G820:H820">
    <cfRule dxfId="0" priority="7408" type="expression">
      <formula>MOD(ROW( G820:J1101),2)=0</formula>
    </cfRule>
  </conditionalFormatting>
  <conditionalFormatting sqref="G821:H821">
    <cfRule dxfId="0" priority="7409" type="expression">
      <formula>MOD(ROW( G821:J1101),2)=0</formula>
    </cfRule>
    <cfRule dxfId="0" priority="26" type="expression">
      <formula>MOD(ROW( G821:J1102),2)=0</formula>
    </cfRule>
  </conditionalFormatting>
  <conditionalFormatting sqref="G822:H822">
    <cfRule dxfId="0" priority="7410" type="expression">
      <formula>MOD(ROW( G822:J1101),2)=0</formula>
    </cfRule>
    <cfRule dxfId="0" priority="25" type="expression">
      <formula>MOD(ROW( G822:J1103),2)=0</formula>
    </cfRule>
  </conditionalFormatting>
  <conditionalFormatting sqref="G823:H823">
    <cfRule dxfId="0" priority="7411" type="expression">
      <formula>MOD(ROW( G823:J1101),2)=0</formula>
    </cfRule>
    <cfRule dxfId="0" priority="24" type="expression">
      <formula>MOD(ROW( G823:J1104),2)=0</formula>
    </cfRule>
  </conditionalFormatting>
  <conditionalFormatting sqref="G824:H824">
    <cfRule dxfId="0" priority="7412" type="expression">
      <formula>MOD(ROW( G824:J1101),2)=0</formula>
    </cfRule>
    <cfRule dxfId="0" priority="23" type="expression">
      <formula>MOD(ROW( G824:J1102),2)=0</formula>
    </cfRule>
    <cfRule dxfId="0" priority="22" type="expression">
      <formula>MOD(ROW( G824:J1105),2)=0</formula>
    </cfRule>
  </conditionalFormatting>
  <conditionalFormatting sqref="G825:H825">
    <cfRule dxfId="0" priority="7413" type="expression">
      <formula>MOD(ROW( G825:J1101),2)=0</formula>
    </cfRule>
    <cfRule dxfId="0" priority="21" type="expression">
      <formula>MOD(ROW( G825:J1103),2)=0</formula>
    </cfRule>
    <cfRule dxfId="0" priority="20" type="expression">
      <formula>MOD(ROW( G825:J1106),2)=0</formula>
    </cfRule>
  </conditionalFormatting>
  <conditionalFormatting sqref="G826:H826">
    <cfRule dxfId="0" priority="7414" type="expression">
      <formula>MOD(ROW( G826:J1101),2)=0</formula>
    </cfRule>
    <cfRule dxfId="0" priority="19" type="expression">
      <formula>MOD(ROW( G826:J1102),2)=0</formula>
    </cfRule>
    <cfRule dxfId="0" priority="18" type="expression">
      <formula>MOD(ROW( G826:J1104),2)=0</formula>
    </cfRule>
    <cfRule dxfId="0" priority="17" type="expression">
      <formula>MOD(ROW( G826:J1107),2)=0</formula>
    </cfRule>
  </conditionalFormatting>
  <conditionalFormatting sqref="G827:H827">
    <cfRule dxfId="0" priority="7415" type="expression">
      <formula>MOD(ROW( G827:J1101),2)=0</formula>
    </cfRule>
  </conditionalFormatting>
  <conditionalFormatting sqref="G828:H828">
    <cfRule dxfId="0" priority="7416" type="expression">
      <formula>MOD(ROW( G828:J1101),2)=0</formula>
    </cfRule>
    <cfRule dxfId="0" priority="16" type="expression">
      <formula>MOD(ROW( G828:J1102),2)=0</formula>
    </cfRule>
  </conditionalFormatting>
  <conditionalFormatting sqref="G829:H829">
    <cfRule dxfId="0" priority="7417" type="expression">
      <formula>MOD(ROW( G829:J1101),2)=0</formula>
    </cfRule>
    <cfRule dxfId="0" priority="15" type="expression">
      <formula>MOD(ROW( G829:J1103),2)=0</formula>
    </cfRule>
  </conditionalFormatting>
  <conditionalFormatting sqref="G830:H830">
    <cfRule dxfId="0" priority="7418" type="expression">
      <formula>MOD(ROW( G830:J1101),2)=0</formula>
    </cfRule>
    <cfRule dxfId="0" priority="14" type="expression">
      <formula>MOD(ROW( G830:J1104),2)=0</formula>
    </cfRule>
  </conditionalFormatting>
  <conditionalFormatting sqref="G831:H831">
    <cfRule dxfId="0" priority="7419" type="expression">
      <formula>MOD(ROW( G831:J1101),2)=0</formula>
    </cfRule>
    <cfRule dxfId="0" priority="13" type="expression">
      <formula>MOD(ROW( G831:J1102),2)=0</formula>
    </cfRule>
    <cfRule dxfId="0" priority="12" type="expression">
      <formula>MOD(ROW( G831:J1105),2)=0</formula>
    </cfRule>
  </conditionalFormatting>
  <conditionalFormatting sqref="G832:H832">
    <cfRule dxfId="0" priority="7420" type="expression">
      <formula>MOD(ROW( G832:J1101),2)=0</formula>
    </cfRule>
  </conditionalFormatting>
  <conditionalFormatting sqref="G833:H833">
    <cfRule dxfId="0" priority="7421" type="expression">
      <formula>MOD(ROW( G833:J1101),2)=0</formula>
    </cfRule>
  </conditionalFormatting>
  <conditionalFormatting sqref="G834:H834">
    <cfRule dxfId="0" priority="7422" type="expression">
      <formula>MOD(ROW( G834:J1101),2)=0</formula>
    </cfRule>
  </conditionalFormatting>
  <conditionalFormatting sqref="G835:H835">
    <cfRule dxfId="0" priority="7423" type="expression">
      <formula>MOD(ROW( G835:J1101),2)=0</formula>
    </cfRule>
    <cfRule dxfId="0" priority="11" type="expression">
      <formula>MOD(ROW( G835:J1102),2)=0</formula>
    </cfRule>
  </conditionalFormatting>
  <conditionalFormatting sqref="G836:H836">
    <cfRule dxfId="0" priority="7424" type="expression">
      <formula>MOD(ROW( G836:J1101),2)=0</formula>
    </cfRule>
    <cfRule dxfId="0" priority="10" type="expression">
      <formula>MOD(ROW( G836:J1103),2)=0</formula>
    </cfRule>
  </conditionalFormatting>
  <conditionalFormatting sqref="G837:H837">
    <cfRule dxfId="0" priority="7425" type="expression">
      <formula>MOD(ROW( G837:J1101),2)=0</formula>
    </cfRule>
    <cfRule dxfId="0" priority="9" type="expression">
      <formula>MOD(ROW( G837:J1104),2)=0</formula>
    </cfRule>
  </conditionalFormatting>
  <conditionalFormatting sqref="G838:H838">
    <cfRule dxfId="0" priority="7426" type="expression">
      <formula>MOD(ROW( G838:J1101),2)=0</formula>
    </cfRule>
  </conditionalFormatting>
  <conditionalFormatting sqref="G839:H839">
    <cfRule dxfId="0" priority="7427" type="expression">
      <formula>MOD(ROW( G839:J1101),2)=0</formula>
    </cfRule>
  </conditionalFormatting>
  <conditionalFormatting sqref="G840:H840">
    <cfRule dxfId="0" priority="7428" type="expression">
      <formula>MOD(ROW( G840:J1101),2)=0</formula>
    </cfRule>
  </conditionalFormatting>
  <conditionalFormatting sqref="G841:H841">
    <cfRule dxfId="0" priority="7429" type="expression">
      <formula>MOD(ROW( G841:J1101),2)=0</formula>
    </cfRule>
  </conditionalFormatting>
  <conditionalFormatting sqref="G842:H842">
    <cfRule dxfId="0" priority="7430" type="expression">
      <formula>MOD(ROW( G842:J1101),2)=0</formula>
    </cfRule>
    <cfRule dxfId="0" priority="8" type="expression">
      <formula>MOD(ROW( G842:J1102),2)=0</formula>
    </cfRule>
  </conditionalFormatting>
  <conditionalFormatting sqref="G843:H843">
    <cfRule dxfId="0" priority="7431" type="expression">
      <formula>MOD(ROW( G843:J1101),2)=0</formula>
    </cfRule>
    <cfRule dxfId="0" priority="7" type="expression">
      <formula>MOD(ROW( G843:J1103),2)=0</formula>
    </cfRule>
  </conditionalFormatting>
  <conditionalFormatting sqref="G844:H844">
    <cfRule dxfId="0" priority="7432" type="expression">
      <formula>MOD(ROW( G844:J1101),2)=0</formula>
    </cfRule>
    <cfRule dxfId="0" priority="6" type="expression">
      <formula>MOD(ROW( G844:J1104),2)=0</formula>
    </cfRule>
  </conditionalFormatting>
  <conditionalFormatting sqref="G845:H845">
    <cfRule dxfId="0" priority="7433" type="expression">
      <formula>MOD(ROW( G845:J1101),2)=0</formula>
    </cfRule>
  </conditionalFormatting>
  <conditionalFormatting sqref="G846:H846">
    <cfRule dxfId="0" priority="7434" type="expression">
      <formula>MOD(ROW( G846:J1101),2)=0</formula>
    </cfRule>
  </conditionalFormatting>
  <conditionalFormatting sqref="G847:H847">
    <cfRule dxfId="0" priority="7435" type="expression">
      <formula>MOD(ROW( G847:J1101),2)=0</formula>
    </cfRule>
  </conditionalFormatting>
  <conditionalFormatting sqref="G848:H848">
    <cfRule dxfId="0" priority="7436" type="expression">
      <formula>MOD(ROW( G848:J1101),2)=0</formula>
    </cfRule>
  </conditionalFormatting>
  <conditionalFormatting sqref="G849:H849">
    <cfRule dxfId="0" priority="7437" type="expression">
      <formula>MOD(ROW( G849:J1101),2)=0</formula>
    </cfRule>
  </conditionalFormatting>
  <conditionalFormatting sqref="G850:H850">
    <cfRule dxfId="0" priority="7438" type="expression">
      <formula>MOD(ROW( G850:J1101),2)=0</formula>
    </cfRule>
  </conditionalFormatting>
  <conditionalFormatting sqref="G851:H851">
    <cfRule dxfId="0" priority="7439" type="expression">
      <formula>MOD(ROW( G851:J1101),2)=0</formula>
    </cfRule>
  </conditionalFormatting>
  <conditionalFormatting sqref="G852:H852">
    <cfRule dxfId="0" priority="7440" type="expression">
      <formula>MOD(ROW( G852:J1101),2)=0</formula>
    </cfRule>
  </conditionalFormatting>
  <conditionalFormatting sqref="G853:H853">
    <cfRule dxfId="0" priority="7441" type="expression">
      <formula>MOD(ROW( G853:J1101),2)=0</formula>
    </cfRule>
  </conditionalFormatting>
  <conditionalFormatting sqref="G854:H854">
    <cfRule dxfId="0" priority="7442" type="expression">
      <formula>MOD(ROW( G854:J1101),2)=0</formula>
    </cfRule>
  </conditionalFormatting>
  <conditionalFormatting sqref="G855:H855">
    <cfRule dxfId="0" priority="7443" type="expression">
      <formula>MOD(ROW( G855:J1101),2)=0</formula>
    </cfRule>
  </conditionalFormatting>
  <conditionalFormatting sqref="G856:H856">
    <cfRule dxfId="0" priority="7444" type="expression">
      <formula>MOD(ROW( G856:J1101),2)=0</formula>
    </cfRule>
  </conditionalFormatting>
  <conditionalFormatting sqref="G857:H857">
    <cfRule dxfId="0" priority="7445" type="expression">
      <formula>MOD(ROW( G857:J1101),2)=0</formula>
    </cfRule>
  </conditionalFormatting>
  <conditionalFormatting sqref="G858:H858">
    <cfRule dxfId="0" priority="7446" type="expression">
      <formula>MOD(ROW( G858:J1101),2)=0</formula>
    </cfRule>
  </conditionalFormatting>
  <conditionalFormatting sqref="G859:H859">
    <cfRule dxfId="0" priority="7447" type="expression">
      <formula>MOD(ROW( G859:J1101),2)=0</formula>
    </cfRule>
  </conditionalFormatting>
  <conditionalFormatting sqref="G860:H860">
    <cfRule dxfId="0" priority="7448" type="expression">
      <formula>MOD(ROW( G860:J1101),2)=0</formula>
    </cfRule>
  </conditionalFormatting>
  <conditionalFormatting sqref="G861:H861">
    <cfRule dxfId="0" priority="7449" type="expression">
      <formula>MOD(ROW( G861:J1101),2)=0</formula>
    </cfRule>
  </conditionalFormatting>
  <conditionalFormatting sqref="G862:H862">
    <cfRule dxfId="0" priority="7450" type="expression">
      <formula>MOD(ROW( G862:J1101),2)=0</formula>
    </cfRule>
  </conditionalFormatting>
  <conditionalFormatting sqref="G863:H863">
    <cfRule dxfId="0" priority="7451" type="expression">
      <formula>MOD(ROW( G863:J1101),2)=0</formula>
    </cfRule>
  </conditionalFormatting>
  <conditionalFormatting sqref="G864:H864">
    <cfRule dxfId="0" priority="7452" type="expression">
      <formula>MOD(ROW( G864:J1101),2)=0</formula>
    </cfRule>
  </conditionalFormatting>
  <conditionalFormatting sqref="G865:H865">
    <cfRule dxfId="0" priority="7453" type="expression">
      <formula>MOD(ROW( G865:J1101),2)=0</formula>
    </cfRule>
  </conditionalFormatting>
  <conditionalFormatting sqref="G866:H866">
    <cfRule dxfId="0" priority="7454" type="expression">
      <formula>MOD(ROW( G866:J1101),2)=0</formula>
    </cfRule>
  </conditionalFormatting>
  <conditionalFormatting sqref="G867:H867">
    <cfRule dxfId="0" priority="7455" type="expression">
      <formula>MOD(ROW( G867:J1101),2)=0</formula>
    </cfRule>
  </conditionalFormatting>
  <conditionalFormatting sqref="G868:H868">
    <cfRule dxfId="0" priority="7456" type="expression">
      <formula>MOD(ROW( G868:J1101),2)=0</formula>
    </cfRule>
  </conditionalFormatting>
  <conditionalFormatting sqref="G869:H869">
    <cfRule dxfId="0" priority="7457" type="expression">
      <formula>MOD(ROW( G869:J1101),2)=0</formula>
    </cfRule>
  </conditionalFormatting>
  <conditionalFormatting sqref="G870:H870">
    <cfRule dxfId="0" priority="7458" type="expression">
      <formula>MOD(ROW( G870:J1101),2)=0</formula>
    </cfRule>
  </conditionalFormatting>
  <conditionalFormatting sqref="G871:H871">
    <cfRule dxfId="0" priority="7459" type="expression">
      <formula>MOD(ROW( G871:J1101),2)=0</formula>
    </cfRule>
  </conditionalFormatting>
  <conditionalFormatting sqref="G872:H872">
    <cfRule dxfId="0" priority="7460" type="expression">
      <formula>MOD(ROW( G872:J1101),2)=0</formula>
    </cfRule>
  </conditionalFormatting>
  <conditionalFormatting sqref="G873:H873">
    <cfRule dxfId="0" priority="7461" type="expression">
      <formula>MOD(ROW( G873:J1101),2)=0</formula>
    </cfRule>
  </conditionalFormatting>
  <conditionalFormatting sqref="G874:H874">
    <cfRule dxfId="0" priority="7462" type="expression">
      <formula>MOD(ROW( G874:J1101),2)=0</formula>
    </cfRule>
  </conditionalFormatting>
  <conditionalFormatting sqref="G875:H894">
    <cfRule dxfId="0" priority="7463" type="expression">
      <formula>MOD(ROW( G875:J1101),2)=0</formula>
    </cfRule>
  </conditionalFormatting>
  <conditionalFormatting sqref="G902:H902">
    <cfRule dxfId="0" priority="7464" type="expression">
      <formula>MOD(ROW( G902:J1101),2)=0</formula>
    </cfRule>
  </conditionalFormatting>
  <conditionalFormatting sqref="G904:H904">
    <cfRule dxfId="0" priority="7465" type="expression">
      <formula>MOD(ROW( G904:J1101),2)=0</formula>
    </cfRule>
  </conditionalFormatting>
  <conditionalFormatting sqref="G905:H905">
    <cfRule dxfId="0" priority="7466" type="expression">
      <formula>MOD(ROW( G905:J1101),2)=0</formula>
    </cfRule>
  </conditionalFormatting>
  <conditionalFormatting sqref="G906:H906">
    <cfRule dxfId="0" priority="7467" type="expression">
      <formula>MOD(ROW( G906:J1101),2)=0</formula>
    </cfRule>
  </conditionalFormatting>
  <conditionalFormatting sqref="G907:H907">
    <cfRule dxfId="0" priority="7468" type="expression">
      <formula>MOD(ROW( G907:J1101),2)=0</formula>
    </cfRule>
  </conditionalFormatting>
  <conditionalFormatting sqref="G908:H908">
    <cfRule dxfId="0" priority="7469" type="expression">
      <formula>MOD(ROW( G908:J1101),2)=0</formula>
    </cfRule>
  </conditionalFormatting>
  <conditionalFormatting sqref="G909:H909">
    <cfRule dxfId="0" priority="7470" type="expression">
      <formula>MOD(ROW( G909:J1101),2)=0</formula>
    </cfRule>
  </conditionalFormatting>
  <conditionalFormatting sqref="G910:H910">
    <cfRule dxfId="0" priority="7471" type="expression">
      <formula>MOD(ROW( G910:J1101),2)=0</formula>
    </cfRule>
  </conditionalFormatting>
  <conditionalFormatting sqref="G911:H911">
    <cfRule dxfId="0" priority="7472" type="expression">
      <formula>MOD(ROW( G911:J1101),2)=0</formula>
    </cfRule>
  </conditionalFormatting>
  <conditionalFormatting sqref="G912:H912">
    <cfRule dxfId="0" priority="7473" type="expression">
      <formula>MOD(ROW( G912:J1101),2)=0</formula>
    </cfRule>
  </conditionalFormatting>
  <conditionalFormatting sqref="G913:H913">
    <cfRule dxfId="0" priority="7474" type="expression">
      <formula>MOD(ROW( G913:J1101),2)=0</formula>
    </cfRule>
  </conditionalFormatting>
  <conditionalFormatting sqref="G914:H914">
    <cfRule dxfId="0" priority="7475" type="expression">
      <formula>MOD(ROW( G914:J1101),2)=0</formula>
    </cfRule>
  </conditionalFormatting>
  <conditionalFormatting sqref="G915:H915">
    <cfRule dxfId="0" priority="7476" type="expression">
      <formula>MOD(ROW( G915:J1101),2)=0</formula>
    </cfRule>
  </conditionalFormatting>
  <conditionalFormatting sqref="G916:H916">
    <cfRule dxfId="0" priority="7477" type="expression">
      <formula>MOD(ROW( G916:J1101),2)=0</formula>
    </cfRule>
  </conditionalFormatting>
  <conditionalFormatting sqref="G917:H917">
    <cfRule dxfId="0" priority="7478" type="expression">
      <formula>MOD(ROW( G917:J1101),2)=0</formula>
    </cfRule>
  </conditionalFormatting>
  <conditionalFormatting sqref="G918:H918">
    <cfRule dxfId="0" priority="7479" type="expression">
      <formula>MOD(ROW( G918:J1101),2)=0</formula>
    </cfRule>
  </conditionalFormatting>
  <conditionalFormatting sqref="G919:H919">
    <cfRule dxfId="0" priority="7480" type="expression">
      <formula>MOD(ROW( G919:J1101),2)=0</formula>
    </cfRule>
  </conditionalFormatting>
  <conditionalFormatting sqref="G920:H920">
    <cfRule dxfId="0" priority="7481" type="expression">
      <formula>MOD(ROW( G920:J1101),2)=0</formula>
    </cfRule>
  </conditionalFormatting>
  <conditionalFormatting sqref="G921:H921">
    <cfRule dxfId="0" priority="7482" type="expression">
      <formula>MOD(ROW( G921:J1101),2)=0</formula>
    </cfRule>
  </conditionalFormatting>
  <conditionalFormatting sqref="G922:H922">
    <cfRule dxfId="0" priority="7483" type="expression">
      <formula>MOD(ROW( G922:J1101),2)=0</formula>
    </cfRule>
  </conditionalFormatting>
  <conditionalFormatting sqref="G923:H923">
    <cfRule dxfId="0" priority="7484" type="expression">
      <formula>MOD(ROW( G923:J1101),2)=0</formula>
    </cfRule>
  </conditionalFormatting>
  <conditionalFormatting sqref="G924:H924">
    <cfRule dxfId="0" priority="7485" type="expression">
      <formula>MOD(ROW( G924:J1101),2)=0</formula>
    </cfRule>
  </conditionalFormatting>
  <conditionalFormatting sqref="G925:H925">
    <cfRule dxfId="0" priority="7486" type="expression">
      <formula>MOD(ROW( G925:J1101),2)=0</formula>
    </cfRule>
  </conditionalFormatting>
  <conditionalFormatting sqref="G926:H926">
    <cfRule dxfId="0" priority="7487" type="expression">
      <formula>MOD(ROW( G926:J1101),2)=0</formula>
    </cfRule>
  </conditionalFormatting>
  <conditionalFormatting sqref="G927:H927">
    <cfRule dxfId="0" priority="7488" type="expression">
      <formula>MOD(ROW( G927:J1101),2)=0</formula>
    </cfRule>
  </conditionalFormatting>
  <conditionalFormatting sqref="G928:H928">
    <cfRule dxfId="0" priority="7489" type="expression">
      <formula>MOD(ROW( G928:J1101),2)=0</formula>
    </cfRule>
  </conditionalFormatting>
  <conditionalFormatting sqref="G929:H929">
    <cfRule dxfId="0" priority="7490" type="expression">
      <formula>MOD(ROW( G929:J1101),2)=0</formula>
    </cfRule>
  </conditionalFormatting>
  <conditionalFormatting sqref="G930:H930">
    <cfRule dxfId="0" priority="7491" type="expression">
      <formula>MOD(ROW( G930:J1101),2)=0</formula>
    </cfRule>
  </conditionalFormatting>
  <conditionalFormatting sqref="G931:H931">
    <cfRule dxfId="0" priority="7492" type="expression">
      <formula>MOD(ROW( G931:J1101),2)=0</formula>
    </cfRule>
  </conditionalFormatting>
  <conditionalFormatting sqref="G932:H932">
    <cfRule dxfId="0" priority="7493" type="expression">
      <formula>MOD(ROW( G932:J1101),2)=0</formula>
    </cfRule>
  </conditionalFormatting>
  <conditionalFormatting sqref="G933:H933">
    <cfRule dxfId="0" priority="7494" type="expression">
      <formula>MOD(ROW( G933:J1101),2)=0</formula>
    </cfRule>
  </conditionalFormatting>
  <conditionalFormatting sqref="G934:H934">
    <cfRule dxfId="0" priority="7495" type="expression">
      <formula>MOD(ROW( G934:J1101),2)=0</formula>
    </cfRule>
  </conditionalFormatting>
  <conditionalFormatting sqref="G935:H935">
    <cfRule dxfId="0" priority="7496" type="expression">
      <formula>MOD(ROW( G935:J1101),2)=0</formula>
    </cfRule>
  </conditionalFormatting>
  <conditionalFormatting sqref="G936:H936">
    <cfRule dxfId="0" priority="7497" type="expression">
      <formula>MOD(ROW( G936:J1101),2)=0</formula>
    </cfRule>
  </conditionalFormatting>
  <conditionalFormatting sqref="G937:H937">
    <cfRule dxfId="0" priority="7498" type="expression">
      <formula>MOD(ROW( G937:J1101),2)=0</formula>
    </cfRule>
  </conditionalFormatting>
  <conditionalFormatting sqref="G938:H938">
    <cfRule dxfId="0" priority="7499" type="expression">
      <formula>MOD(ROW( G938:J1101),2)=0</formula>
    </cfRule>
  </conditionalFormatting>
  <conditionalFormatting sqref="G939:H939">
    <cfRule dxfId="0" priority="7500" type="expression">
      <formula>MOD(ROW( G939:J1101),2)=0</formula>
    </cfRule>
  </conditionalFormatting>
  <conditionalFormatting sqref="G940:H940">
    <cfRule dxfId="0" priority="7501" type="expression">
      <formula>MOD(ROW( G940:J1101),2)=0</formula>
    </cfRule>
  </conditionalFormatting>
  <conditionalFormatting sqref="G941:H941">
    <cfRule dxfId="0" priority="7502" type="expression">
      <formula>MOD(ROW( G941:J1101),2)=0</formula>
    </cfRule>
  </conditionalFormatting>
  <conditionalFormatting sqref="G942:H942">
    <cfRule dxfId="0" priority="7503" type="expression">
      <formula>MOD(ROW( G942:J1101),2)=0</formula>
    </cfRule>
  </conditionalFormatting>
  <conditionalFormatting sqref="G943:H943">
    <cfRule dxfId="0" priority="7504" type="expression">
      <formula>MOD(ROW( G943:J1101),2)=0</formula>
    </cfRule>
  </conditionalFormatting>
  <conditionalFormatting sqref="G944:H944">
    <cfRule dxfId="0" priority="7505" type="expression">
      <formula>MOD(ROW( G944:J1101),2)=0</formula>
    </cfRule>
  </conditionalFormatting>
  <conditionalFormatting sqref="G945:H945">
    <cfRule dxfId="0" priority="7506" type="expression">
      <formula>MOD(ROW( G945:J1101),2)=0</formula>
    </cfRule>
  </conditionalFormatting>
  <conditionalFormatting sqref="G946:H946">
    <cfRule dxfId="0" priority="7507" type="expression">
      <formula>MOD(ROW( G946:J1101),2)=0</formula>
    </cfRule>
  </conditionalFormatting>
  <conditionalFormatting sqref="G947:H947">
    <cfRule dxfId="0" priority="7508" type="expression">
      <formula>MOD(ROW( G947:J1101),2)=0</formula>
    </cfRule>
  </conditionalFormatting>
  <conditionalFormatting sqref="G948:H948">
    <cfRule dxfId="0" priority="7509" type="expression">
      <formula>MOD(ROW( G948:J1101),2)=0</formula>
    </cfRule>
  </conditionalFormatting>
  <conditionalFormatting sqref="G949:H949">
    <cfRule dxfId="0" priority="7510" type="expression">
      <formula>MOD(ROW( G949:J1101),2)=0</formula>
    </cfRule>
  </conditionalFormatting>
  <conditionalFormatting sqref="G950:H950">
    <cfRule dxfId="0" priority="7511" type="expression">
      <formula>MOD(ROW( G950:J1101),2)=0</formula>
    </cfRule>
  </conditionalFormatting>
  <conditionalFormatting sqref="G951:H951">
    <cfRule dxfId="0" priority="7512" type="expression">
      <formula>MOD(ROW( G951:J1101),2)=0</formula>
    </cfRule>
  </conditionalFormatting>
  <conditionalFormatting sqref="G952:H952">
    <cfRule dxfId="0" priority="7513" type="expression">
      <formula>MOD(ROW( G952:J1101),2)=0</formula>
    </cfRule>
  </conditionalFormatting>
  <conditionalFormatting sqref="G953:H953">
    <cfRule dxfId="0" priority="7514" type="expression">
      <formula>MOD(ROW( G953:J1101),2)=0</formula>
    </cfRule>
  </conditionalFormatting>
  <conditionalFormatting sqref="G954:H954">
    <cfRule dxfId="0" priority="7515" type="expression">
      <formula>MOD(ROW( G954:J1101),2)=0</formula>
    </cfRule>
  </conditionalFormatting>
  <conditionalFormatting sqref="G955:H955">
    <cfRule dxfId="0" priority="7516" type="expression">
      <formula>MOD(ROW( G955:J1101),2)=0</formula>
    </cfRule>
  </conditionalFormatting>
  <conditionalFormatting sqref="G956:H956">
    <cfRule dxfId="0" priority="7517" type="expression">
      <formula>MOD(ROW( G956:J1101),2)=0</formula>
    </cfRule>
  </conditionalFormatting>
  <conditionalFormatting sqref="G957:H957">
    <cfRule dxfId="0" priority="7518" type="expression">
      <formula>MOD(ROW( G957:J1101),2)=0</formula>
    </cfRule>
  </conditionalFormatting>
  <conditionalFormatting sqref="G958:H958">
    <cfRule dxfId="0" priority="7519" type="expression">
      <formula>MOD(ROW( G958:J1101),2)=0</formula>
    </cfRule>
  </conditionalFormatting>
  <conditionalFormatting sqref="G959:H959">
    <cfRule dxfId="0" priority="7520" type="expression">
      <formula>MOD(ROW( G959:J1101),2)=0</formula>
    </cfRule>
  </conditionalFormatting>
  <conditionalFormatting sqref="G960:H960">
    <cfRule dxfId="0" priority="7521" type="expression">
      <formula>MOD(ROW( G960:J1101),2)=0</formula>
    </cfRule>
  </conditionalFormatting>
  <conditionalFormatting sqref="G961:H961">
    <cfRule dxfId="0" priority="7522" type="expression">
      <formula>MOD(ROW( G961:J1101),2)=0</formula>
    </cfRule>
  </conditionalFormatting>
  <conditionalFormatting sqref="G962:H962">
    <cfRule dxfId="0" priority="7523" type="expression">
      <formula>MOD(ROW( G962:J1101),2)=0</formula>
    </cfRule>
  </conditionalFormatting>
  <conditionalFormatting sqref="G963:H963">
    <cfRule dxfId="0" priority="7524" type="expression">
      <formula>MOD(ROW( G963:J1101),2)=0</formula>
    </cfRule>
  </conditionalFormatting>
  <conditionalFormatting sqref="G964:H964">
    <cfRule dxfId="0" priority="7525" type="expression">
      <formula>MOD(ROW( G964:J1101),2)=0</formula>
    </cfRule>
  </conditionalFormatting>
  <conditionalFormatting sqref="G965:H965">
    <cfRule dxfId="0" priority="7526" type="expression">
      <formula>MOD(ROW( G965:J1101),2)=0</formula>
    </cfRule>
  </conditionalFormatting>
  <conditionalFormatting sqref="G966:H966">
    <cfRule dxfId="0" priority="7527" type="expression">
      <formula>MOD(ROW( G966:J1101),2)=0</formula>
    </cfRule>
  </conditionalFormatting>
  <conditionalFormatting sqref="G967:H967">
    <cfRule dxfId="0" priority="7528" type="expression">
      <formula>MOD(ROW( G967:J1101),2)=0</formula>
    </cfRule>
  </conditionalFormatting>
  <conditionalFormatting sqref="G968:H968">
    <cfRule dxfId="0" priority="7529" type="expression">
      <formula>MOD(ROW( G968:J1101),2)=0</formula>
    </cfRule>
  </conditionalFormatting>
  <conditionalFormatting sqref="G969:H969">
    <cfRule dxfId="0" priority="7530" type="expression">
      <formula>MOD(ROW( G969:J1101),2)=0</formula>
    </cfRule>
  </conditionalFormatting>
  <conditionalFormatting sqref="G970:H970">
    <cfRule dxfId="0" priority="7531" type="expression">
      <formula>MOD(ROW( G970:J1101),2)=0</formula>
    </cfRule>
  </conditionalFormatting>
  <conditionalFormatting sqref="G971:H971">
    <cfRule dxfId="0" priority="7532" type="expression">
      <formula>MOD(ROW( G971:J1101),2)=0</formula>
    </cfRule>
  </conditionalFormatting>
  <conditionalFormatting sqref="G972:H972">
    <cfRule dxfId="0" priority="7533" type="expression">
      <formula>MOD(ROW( G972:J1101),2)=0</formula>
    </cfRule>
  </conditionalFormatting>
  <conditionalFormatting sqref="G973:H973">
    <cfRule dxfId="0" priority="7534" type="expression">
      <formula>MOD(ROW( G973:J1101),2)=0</formula>
    </cfRule>
  </conditionalFormatting>
  <conditionalFormatting sqref="G974:H974">
    <cfRule dxfId="0" priority="7535" type="expression">
      <formula>MOD(ROW( G974:J1101),2)=0</formula>
    </cfRule>
  </conditionalFormatting>
  <conditionalFormatting sqref="G975:H975">
    <cfRule dxfId="0" priority="7536" type="expression">
      <formula>MOD(ROW( G975:J1101),2)=0</formula>
    </cfRule>
  </conditionalFormatting>
  <conditionalFormatting sqref="G976:H976">
    <cfRule dxfId="0" priority="7537" type="expression">
      <formula>MOD(ROW( G976:J1101),2)=0</formula>
    </cfRule>
  </conditionalFormatting>
  <conditionalFormatting sqref="G977:H977">
    <cfRule dxfId="0" priority="7538" type="expression">
      <formula>MOD(ROW( G977:J1101),2)=0</formula>
    </cfRule>
  </conditionalFormatting>
  <conditionalFormatting sqref="G978:H978">
    <cfRule dxfId="0" priority="7539" type="expression">
      <formula>MOD(ROW( G978:J1101),2)=0</formula>
    </cfRule>
  </conditionalFormatting>
  <conditionalFormatting sqref="G979:H979">
    <cfRule dxfId="0" priority="7540" type="expression">
      <formula>MOD(ROW( G979:J1101),2)=0</formula>
    </cfRule>
  </conditionalFormatting>
  <conditionalFormatting sqref="G980:H980">
    <cfRule dxfId="0" priority="7541" type="expression">
      <formula>MOD(ROW( G980:J1101),2)=0</formula>
    </cfRule>
  </conditionalFormatting>
  <conditionalFormatting sqref="G981:H981">
    <cfRule dxfId="0" priority="7542" type="expression">
      <formula>MOD(ROW( G981:J1101),2)=0</formula>
    </cfRule>
  </conditionalFormatting>
  <conditionalFormatting sqref="G982:H982">
    <cfRule dxfId="0" priority="7543" type="expression">
      <formula>MOD(ROW( G982:J1101),2)=0</formula>
    </cfRule>
  </conditionalFormatting>
  <conditionalFormatting sqref="G983:H983">
    <cfRule dxfId="0" priority="7544" type="expression">
      <formula>MOD(ROW( G983:J1101),2)=0</formula>
    </cfRule>
  </conditionalFormatting>
  <conditionalFormatting sqref="G984:H984">
    <cfRule dxfId="0" priority="7545" type="expression">
      <formula>MOD(ROW( G984:J1101),2)=0</formula>
    </cfRule>
  </conditionalFormatting>
  <conditionalFormatting sqref="G985:H985">
    <cfRule dxfId="0" priority="7546" type="expression">
      <formula>MOD(ROW( G985:J1101),2)=0</formula>
    </cfRule>
  </conditionalFormatting>
  <conditionalFormatting sqref="G986:H986">
    <cfRule dxfId="0" priority="7547" type="expression">
      <formula>MOD(ROW( G986:J1101),2)=0</formula>
    </cfRule>
  </conditionalFormatting>
  <conditionalFormatting sqref="G987:H987">
    <cfRule dxfId="0" priority="7548" type="expression">
      <formula>MOD(ROW( G987:J1101),2)=0</formula>
    </cfRule>
  </conditionalFormatting>
  <conditionalFormatting sqref="G988:H988">
    <cfRule dxfId="0" priority="7549" type="expression">
      <formula>MOD(ROW( G988:J1101),2)=0</formula>
    </cfRule>
  </conditionalFormatting>
  <conditionalFormatting sqref="G989:H989">
    <cfRule dxfId="0" priority="7550" type="expression">
      <formula>MOD(ROW( G989:J1101),2)=0</formula>
    </cfRule>
  </conditionalFormatting>
  <conditionalFormatting sqref="G990:H990">
    <cfRule dxfId="0" priority="7551" type="expression">
      <formula>MOD(ROW( G990:J1101),2)=0</formula>
    </cfRule>
  </conditionalFormatting>
  <conditionalFormatting sqref="G991:H991">
    <cfRule dxfId="0" priority="7552" type="expression">
      <formula>MOD(ROW( G991:J1101),2)=0</formula>
    </cfRule>
  </conditionalFormatting>
  <conditionalFormatting sqref="G992:H992">
    <cfRule dxfId="0" priority="7553" type="expression">
      <formula>MOD(ROW( G992:J1101),2)=0</formula>
    </cfRule>
  </conditionalFormatting>
  <conditionalFormatting sqref="G993:H993">
    <cfRule dxfId="0" priority="7554" type="expression">
      <formula>MOD(ROW( G993:J1101),2)=0</formula>
    </cfRule>
  </conditionalFormatting>
  <conditionalFormatting sqref="G994:H994">
    <cfRule dxfId="0" priority="7555" type="expression">
      <formula>MOD(ROW( G994:J1101),2)=0</formula>
    </cfRule>
  </conditionalFormatting>
  <conditionalFormatting sqref="G995:H995">
    <cfRule dxfId="0" priority="7556" type="expression">
      <formula>MOD(ROW( G995:J1101),2)=0</formula>
    </cfRule>
  </conditionalFormatting>
  <conditionalFormatting sqref="G996:H996">
    <cfRule dxfId="0" priority="7557" type="expression">
      <formula>MOD(ROW( G996:J1101),2)=0</formula>
    </cfRule>
  </conditionalFormatting>
  <conditionalFormatting sqref="G997:H997">
    <cfRule dxfId="0" priority="7558" type="expression">
      <formula>MOD(ROW( G997:J1101),2)=0</formula>
    </cfRule>
  </conditionalFormatting>
  <conditionalFormatting sqref="G998:H998">
    <cfRule dxfId="0" priority="7559" type="expression">
      <formula>MOD(ROW( G998:J1101),2)=0</formula>
    </cfRule>
  </conditionalFormatting>
  <conditionalFormatting sqref="G999:H999">
    <cfRule dxfId="0" priority="7560" type="expression">
      <formula>MOD(ROW( G999:J1101),2)=0</formula>
    </cfRule>
  </conditionalFormatting>
  <conditionalFormatting sqref="G1000:H1000">
    <cfRule dxfId="0" priority="7561" type="expression">
      <formula>MOD(ROW( G1000:J1101),2)=0</formula>
    </cfRule>
  </conditionalFormatting>
  <conditionalFormatting sqref="G1001:H1001">
    <cfRule dxfId="0" priority="7562" type="expression">
      <formula>MOD(ROW( G1001:J1101),2)=0</formula>
    </cfRule>
  </conditionalFormatting>
  <conditionalFormatting sqref="G1002:H1002">
    <cfRule dxfId="0" priority="7563" type="expression">
      <formula>MOD(ROW( G1002:J1101),2)=0</formula>
    </cfRule>
  </conditionalFormatting>
  <conditionalFormatting sqref="G1003:H1003">
    <cfRule dxfId="0" priority="7564" type="expression">
      <formula>MOD(ROW( G1003:J1101),2)=0</formula>
    </cfRule>
  </conditionalFormatting>
  <conditionalFormatting sqref="G1004:H1004">
    <cfRule dxfId="0" priority="7565" type="expression">
      <formula>MOD(ROW( G1004:J1101),2)=0</formula>
    </cfRule>
  </conditionalFormatting>
  <conditionalFormatting sqref="G1005:H1005">
    <cfRule dxfId="0" priority="7566" type="expression">
      <formula>MOD(ROW( G1005:J1101),2)=0</formula>
    </cfRule>
  </conditionalFormatting>
  <conditionalFormatting sqref="G1006:H1006">
    <cfRule dxfId="0" priority="7567" type="expression">
      <formula>MOD(ROW( G1006:J1101),2)=0</formula>
    </cfRule>
  </conditionalFormatting>
  <conditionalFormatting sqref="G1007:H1007">
    <cfRule dxfId="0" priority="7568" type="expression">
      <formula>MOD(ROW( G1007:J1101),2)=0</formula>
    </cfRule>
  </conditionalFormatting>
  <conditionalFormatting sqref="G1008:H1008">
    <cfRule dxfId="0" priority="7569" type="expression">
      <formula>MOD(ROW( G1008:J1101),2)=0</formula>
    </cfRule>
  </conditionalFormatting>
  <conditionalFormatting sqref="G1009:H1009">
    <cfRule dxfId="0" priority="7570" type="expression">
      <formula>MOD(ROW( G1009:J1101),2)=0</formula>
    </cfRule>
  </conditionalFormatting>
  <conditionalFormatting sqref="G1010:H1010">
    <cfRule dxfId="0" priority="7571" type="expression">
      <formula>MOD(ROW( G1010:J1101),2)=0</formula>
    </cfRule>
  </conditionalFormatting>
  <conditionalFormatting sqref="G1011:H1011">
    <cfRule dxfId="0" priority="7572" type="expression">
      <formula>MOD(ROW( G1011:J1101),2)=0</formula>
    </cfRule>
  </conditionalFormatting>
  <conditionalFormatting sqref="G1012:H1012">
    <cfRule dxfId="0" priority="7573" type="expression">
      <formula>MOD(ROW( G1012:J1101),2)=0</formula>
    </cfRule>
  </conditionalFormatting>
  <conditionalFormatting sqref="G1013:H1013">
    <cfRule dxfId="0" priority="7574" type="expression">
      <formula>MOD(ROW( G1013:J1101),2)=0</formula>
    </cfRule>
  </conditionalFormatting>
  <conditionalFormatting sqref="G1014:H1014">
    <cfRule dxfId="0" priority="7575" type="expression">
      <formula>MOD(ROW( G1014:J1101),2)=0</formula>
    </cfRule>
  </conditionalFormatting>
  <conditionalFormatting sqref="G1015:H1015">
    <cfRule dxfId="0" priority="7576" type="expression">
      <formula>MOD(ROW( G1015:J1101),2)=0</formula>
    </cfRule>
  </conditionalFormatting>
  <conditionalFormatting sqref="G1016:H1016">
    <cfRule dxfId="0" priority="7577" type="expression">
      <formula>MOD(ROW( G1016:J1101),2)=0</formula>
    </cfRule>
  </conditionalFormatting>
  <conditionalFormatting sqref="G1017:H1017">
    <cfRule dxfId="0" priority="7578" type="expression">
      <formula>MOD(ROW( G1017:J1101),2)=0</formula>
    </cfRule>
  </conditionalFormatting>
  <conditionalFormatting sqref="G1018:H1018">
    <cfRule dxfId="0" priority="7579" type="expression">
      <formula>MOD(ROW( G1018:J1101),2)=0</formula>
    </cfRule>
  </conditionalFormatting>
  <conditionalFormatting sqref="G1019:H1019">
    <cfRule dxfId="0" priority="7580" type="expression">
      <formula>MOD(ROW( G1019:J1101),2)=0</formula>
    </cfRule>
  </conditionalFormatting>
  <conditionalFormatting sqref="G1020:H1020">
    <cfRule dxfId="0" priority="7581" type="expression">
      <formula>MOD(ROW( G1020:J1101),2)=0</formula>
    </cfRule>
  </conditionalFormatting>
  <conditionalFormatting sqref="G1021:H1021">
    <cfRule dxfId="0" priority="7582" type="expression">
      <formula>MOD(ROW( G1021:J1101),2)=0</formula>
    </cfRule>
  </conditionalFormatting>
  <conditionalFormatting sqref="G1022:H1022">
    <cfRule dxfId="0" priority="7583" type="expression">
      <formula>MOD(ROW( G1022:J1101),2)=0</formula>
    </cfRule>
  </conditionalFormatting>
  <conditionalFormatting sqref="G1023:H1023">
    <cfRule dxfId="0" priority="7584" type="expression">
      <formula>MOD(ROW( G1023:J1101),2)=0</formula>
    </cfRule>
  </conditionalFormatting>
  <conditionalFormatting sqref="G1024:H1024">
    <cfRule dxfId="0" priority="7585" type="expression">
      <formula>MOD(ROW( G1024:J1101),2)=0</formula>
    </cfRule>
  </conditionalFormatting>
  <conditionalFormatting sqref="G1025:H1027">
    <cfRule dxfId="0" priority="7586" type="expression">
      <formula>MOD(ROW( G1025:J1101),2)=0</formula>
    </cfRule>
  </conditionalFormatting>
  <conditionalFormatting sqref="G1039:H1039">
    <cfRule dxfId="0" priority="7587" type="expression">
      <formula>MOD(ROW( G1039:J1101),2)=0</formula>
    </cfRule>
  </conditionalFormatting>
  <conditionalFormatting sqref="G1040:H1040">
    <cfRule dxfId="0" priority="7588" type="expression">
      <formula>MOD(ROW( G1040:J1101),2)=0</formula>
    </cfRule>
  </conditionalFormatting>
  <conditionalFormatting sqref="G1041:H1041">
    <cfRule dxfId="0" priority="7589" type="expression">
      <formula>MOD(ROW( G1041:J1101),2)=0</formula>
    </cfRule>
  </conditionalFormatting>
  <conditionalFormatting sqref="G1042:H1042">
    <cfRule dxfId="0" priority="7590" type="expression">
      <formula>MOD(ROW( G1042:J1101),2)=0</formula>
    </cfRule>
  </conditionalFormatting>
  <conditionalFormatting sqref="G1043:H1043">
    <cfRule dxfId="0" priority="7591" type="expression">
      <formula>MOD(ROW( G1043:J1101),2)=0</formula>
    </cfRule>
  </conditionalFormatting>
  <conditionalFormatting sqref="G1044:H1044">
    <cfRule dxfId="0" priority="7592" type="expression">
      <formula>MOD(ROW( G1044:J1101),2)=0</formula>
    </cfRule>
  </conditionalFormatting>
  <conditionalFormatting sqref="G1045:H1045">
    <cfRule dxfId="0" priority="7593" type="expression">
      <formula>MOD(ROW( G1045:J1101),2)=0</formula>
    </cfRule>
  </conditionalFormatting>
  <conditionalFormatting sqref="G1046:H1046">
    <cfRule dxfId="0" priority="7594" type="expression">
      <formula>MOD(ROW( G1046:J1101),2)=0</formula>
    </cfRule>
  </conditionalFormatting>
  <conditionalFormatting sqref="G1047:H1047">
    <cfRule dxfId="0" priority="7595" type="expression">
      <formula>MOD(ROW( G1047:J1101),2)=0</formula>
    </cfRule>
  </conditionalFormatting>
  <conditionalFormatting sqref="G1048:H1048">
    <cfRule dxfId="0" priority="7596" type="expression">
      <formula>MOD(ROW( G1048:J1101),2)=0</formula>
    </cfRule>
  </conditionalFormatting>
  <conditionalFormatting sqref="G1049:H1049">
    <cfRule dxfId="0" priority="7597" type="expression">
      <formula>MOD(ROW( G1049:J1101),2)=0</formula>
    </cfRule>
  </conditionalFormatting>
  <conditionalFormatting sqref="G1050:H1050">
    <cfRule dxfId="0" priority="7598" type="expression">
      <formula>MOD(ROW( G1050:J1101),2)=0</formula>
    </cfRule>
  </conditionalFormatting>
  <conditionalFormatting sqref="G1051:H1051">
    <cfRule dxfId="0" priority="7599" type="expression">
      <formula>MOD(ROW( G1051:J1101),2)=0</formula>
    </cfRule>
  </conditionalFormatting>
  <conditionalFormatting sqref="G1052:H1052">
    <cfRule dxfId="0" priority="7600" type="expression">
      <formula>MOD(ROW( G1052:J1101),2)=0</formula>
    </cfRule>
  </conditionalFormatting>
  <conditionalFormatting sqref="G1054:H1054">
    <cfRule dxfId="0" priority="7601" type="expression">
      <formula>MOD(ROW( G1054:J1101),2)=0</formula>
    </cfRule>
  </conditionalFormatting>
  <conditionalFormatting sqref="G1055:H1055">
    <cfRule dxfId="0" priority="7602" type="expression">
      <formula>MOD(ROW( G1055:J1101),2)=0</formula>
    </cfRule>
  </conditionalFormatting>
  <conditionalFormatting sqref="G1053:H1053">
    <cfRule dxfId="0" priority="7603" type="expression">
      <formula>MOD(ROW( G1053:J1101),2)=0</formula>
    </cfRule>
  </conditionalFormatting>
  <conditionalFormatting sqref="G1056:H1056">
    <cfRule dxfId="0" priority="7604" type="expression">
      <formula>MOD(ROW( G1056:J1101),2)=0</formula>
    </cfRule>
  </conditionalFormatting>
  <conditionalFormatting sqref="G1057:H1057">
    <cfRule dxfId="0" priority="7605" type="expression">
      <formula>MOD(ROW( G1057:J1101),2)=0</formula>
    </cfRule>
  </conditionalFormatting>
  <conditionalFormatting sqref="G1058:H1058">
    <cfRule dxfId="0" priority="7606" type="expression">
      <formula>MOD(ROW( G1058:J1101),2)=0</formula>
    </cfRule>
  </conditionalFormatting>
  <conditionalFormatting sqref="G1059:H1059">
    <cfRule dxfId="0" priority="7607" type="expression">
      <formula>MOD(ROW( G1059:J1101),2)=0</formula>
    </cfRule>
  </conditionalFormatting>
  <conditionalFormatting sqref="G1060:H1060">
    <cfRule dxfId="0" priority="7608" type="expression">
      <formula>MOD(ROW( G1060:J1101),2)=0</formula>
    </cfRule>
  </conditionalFormatting>
  <conditionalFormatting sqref="G1061:H1061">
    <cfRule dxfId="0" priority="7609" type="expression">
      <formula>MOD(ROW( G1061:J1101),2)=0</formula>
    </cfRule>
  </conditionalFormatting>
  <conditionalFormatting sqref="G1062:H1062">
    <cfRule dxfId="0" priority="7610" type="expression">
      <formula>MOD(ROW( G1062:J1101),2)=0</formula>
    </cfRule>
  </conditionalFormatting>
  <conditionalFormatting sqref="G1063:H1063">
    <cfRule dxfId="0" priority="7611" type="expression">
      <formula>MOD(ROW( G1063:J1101),2)=0</formula>
    </cfRule>
  </conditionalFormatting>
  <conditionalFormatting sqref="G1064:H1064">
    <cfRule dxfId="0" priority="7612" type="expression">
      <formula>MOD(ROW( G1064:J1101),2)=0</formula>
    </cfRule>
  </conditionalFormatting>
  <conditionalFormatting sqref="G1065:H1065">
    <cfRule dxfId="0" priority="7613" type="expression">
      <formula>MOD(ROW( G1065:J1101),2)=0</formula>
    </cfRule>
  </conditionalFormatting>
  <conditionalFormatting sqref="G1066:H1066">
    <cfRule dxfId="0" priority="7614" type="expression">
      <formula>MOD(ROW( G1066:J1101),2)=0</formula>
    </cfRule>
  </conditionalFormatting>
  <conditionalFormatting sqref="G1067:H1067">
    <cfRule dxfId="0" priority="7615" type="expression">
      <formula>MOD(ROW( G1067:J1101),2)=0</formula>
    </cfRule>
  </conditionalFormatting>
  <conditionalFormatting sqref="G1068:H1068">
    <cfRule dxfId="0" priority="7616" type="expression">
      <formula>MOD(ROW( G1068:J1101),2)=0</formula>
    </cfRule>
  </conditionalFormatting>
  <conditionalFormatting sqref="G1069:H1069">
    <cfRule dxfId="0" priority="7617" type="expression">
      <formula>MOD(ROW( G1069:J1101),2)=0</formula>
    </cfRule>
  </conditionalFormatting>
  <conditionalFormatting sqref="G1070:H1070">
    <cfRule dxfId="0" priority="7618" type="expression">
      <formula>MOD(ROW( G1070:J1101),2)=0</formula>
    </cfRule>
  </conditionalFormatting>
  <conditionalFormatting sqref="G1071:H1071">
    <cfRule dxfId="0" priority="7619" type="expression">
      <formula>MOD(ROW( G1071:J1101),2)=0</formula>
    </cfRule>
  </conditionalFormatting>
  <conditionalFormatting sqref="G1072:H1072">
    <cfRule dxfId="0" priority="7620" type="expression">
      <formula>MOD(ROW( G1072:J1101),2)=0</formula>
    </cfRule>
  </conditionalFormatting>
  <conditionalFormatting sqref="G1073:H1073">
    <cfRule dxfId="0" priority="7621" type="expression">
      <formula>MOD(ROW( G1073:J1101),2)=0</formula>
    </cfRule>
  </conditionalFormatting>
  <conditionalFormatting sqref="G1074:H1074">
    <cfRule dxfId="0" priority="7622" type="expression">
      <formula>MOD(ROW( G1074:J1101),2)=0</formula>
    </cfRule>
  </conditionalFormatting>
  <conditionalFormatting sqref="G1075:H1075">
    <cfRule dxfId="0" priority="7623" type="expression">
      <formula>MOD(ROW( G1075:J1101),2)=0</formula>
    </cfRule>
  </conditionalFormatting>
  <conditionalFormatting sqref="G1076:H1076">
    <cfRule dxfId="0" priority="7624" type="expression">
      <formula>MOD(ROW( G1076:J1101),2)=0</formula>
    </cfRule>
  </conditionalFormatting>
  <conditionalFormatting sqref="G1077:H1077">
    <cfRule dxfId="0" priority="7625" type="expression">
      <formula>MOD(ROW( G1077:J1101),2)=0</formula>
    </cfRule>
  </conditionalFormatting>
  <conditionalFormatting sqref="G1078:H1078">
    <cfRule dxfId="0" priority="7626" type="expression">
      <formula>MOD(ROW( G1078:J1101),2)=0</formula>
    </cfRule>
  </conditionalFormatting>
  <conditionalFormatting sqref="G1079:H1079">
    <cfRule dxfId="0" priority="7627" type="expression">
      <formula>MOD(ROW( G1079:J1101),2)=0</formula>
    </cfRule>
  </conditionalFormatting>
  <conditionalFormatting sqref="G1080:H1080">
    <cfRule dxfId="0" priority="7628" type="expression">
      <formula>MOD(ROW( G1080:J1101),2)=0</formula>
    </cfRule>
  </conditionalFormatting>
  <conditionalFormatting sqref="G1081:H1081">
    <cfRule dxfId="0" priority="7629" type="expression">
      <formula>MOD(ROW( G1081:J1101),2)=0</formula>
    </cfRule>
  </conditionalFormatting>
  <conditionalFormatting sqref="G1082:H1082">
    <cfRule dxfId="0" priority="7630" type="expression">
      <formula>MOD(ROW( G1082:J1101),2)=0</formula>
    </cfRule>
  </conditionalFormatting>
  <conditionalFormatting sqref="G1083:H1083">
    <cfRule dxfId="0" priority="7631" type="expression">
      <formula>MOD(ROW( G1083:J1101),2)=0</formula>
    </cfRule>
  </conditionalFormatting>
  <conditionalFormatting sqref="G1084:H1084">
    <cfRule dxfId="0" priority="7632" type="expression">
      <formula>MOD(ROW( G1084:J1101),2)=0</formula>
    </cfRule>
  </conditionalFormatting>
  <conditionalFormatting sqref="G1085:H1085">
    <cfRule dxfId="0" priority="7633" type="expression">
      <formula>MOD(ROW( G1085:J1101),2)=0</formula>
    </cfRule>
  </conditionalFormatting>
  <conditionalFormatting sqref="G1086:H1086">
    <cfRule dxfId="0" priority="7634" type="expression">
      <formula>MOD(ROW( G1086:J1101),2)=0</formula>
    </cfRule>
  </conditionalFormatting>
  <conditionalFormatting sqref="G1087:H1087">
    <cfRule dxfId="0" priority="7635" type="expression">
      <formula>MOD(ROW( G1087:J1101),2)=0</formula>
    </cfRule>
  </conditionalFormatting>
  <conditionalFormatting sqref="G1088:H1091">
    <cfRule dxfId="0" priority="7636" type="expression">
      <formula>MOD(ROW( G1088:J1101),2)=0</formula>
    </cfRule>
  </conditionalFormatting>
  <conditionalFormatting sqref="D882:D1101">
    <cfRule dxfId="0" priority="7638" type="expression">
      <formula>MOD(ROW( J882:XFD1101),2)=0</formula>
    </cfRule>
  </conditionalFormatting>
  <conditionalFormatting sqref="I737:I1101">
    <cfRule dxfId="0" priority="28" type="expression">
      <formula>MOD(ROW( F737:O1101),2)=0</formula>
    </cfRule>
  </conditionalFormatting>
  <conditionalFormatting sqref="H21:I21">
    <cfRule dxfId="14" priority="7810" type="expression">
      <formula>MOD((J5:ZP493),2)=0</formula>
    </cfRule>
  </conditionalFormatting>
  <conditionalFormatting sqref="Q9:V493">
    <cfRule dxfId="0" priority="7811" type="expression">
      <formula>MOD(ROW( O5:V496),W7)=0</formula>
    </cfRule>
  </conditionalFormatting>
  <conditionalFormatting sqref="Q6:AB6">
    <cfRule dxfId="0" priority="7812" type="expression">
      <formula>MOD(ROW( O4:V494),#REF!)=0</formula>
    </cfRule>
  </conditionalFormatting>
  <conditionalFormatting sqref="Q7:AB7">
    <cfRule dxfId="0" priority="7813" type="expression">
      <formula>MOD(ROW( O4:V494),#REF!)=0</formula>
    </cfRule>
  </conditionalFormatting>
  <conditionalFormatting sqref="Q8:V8">
    <cfRule dxfId="0" priority="7814" type="expression">
      <formula>MOD(ROW( O5:V495),W5)=0</formula>
    </cfRule>
  </conditionalFormatting>
  <conditionalFormatting sqref="Q5:V5">
    <cfRule dxfId="0" priority="7815" type="expression">
      <formula>MOD(ROW( O5:V493),W4)=0</formula>
    </cfRule>
  </conditionalFormatting>
  <conditionalFormatting sqref="M5:P736">
    <cfRule dxfId="0" priority="7816" type="expression">
      <formula>MOD(ROW( J5:Q492),2)=0</formula>
    </cfRule>
  </conditionalFormatting>
  <conditionalFormatting sqref="XFC7:XFD493">
    <cfRule dxfId="0" priority="7818" type="expression">
      <formula>MOD(ROW( A7:O494),2)=0</formula>
    </cfRule>
  </conditionalFormatting>
  <conditionalFormatting sqref="XFC5:XFD6">
    <cfRule dxfId="0" priority="7819" type="expression">
      <formula>MOD(ROW( A5:O493),2)=0</formula>
    </cfRule>
  </conditionalFormatting>
  <conditionalFormatting sqref="XEP7:XFA493">
    <cfRule dxfId="0" priority="7834" type="expression">
      <formula>MOD(ROW( A7:XEP494),2)=0</formula>
    </cfRule>
  </conditionalFormatting>
  <conditionalFormatting sqref="XEP5:XFA6">
    <cfRule dxfId="0" priority="7835" type="expression">
      <formula>MOD(ROW( A5:XEP493),2)=0</formula>
    </cfRule>
  </conditionalFormatting>
  <conditionalFormatting sqref="F856">
    <cfRule dxfId="0" priority="4" type="expression">
      <formula>MOD(ROW( C856:L1220),2)=0</formula>
    </cfRule>
  </conditionalFormatting>
  <conditionalFormatting sqref="F858">
    <cfRule dxfId="0" priority="3" type="expression">
      <formula>MOD(ROW( C858:L1222),2)=0</formula>
    </cfRule>
  </conditionalFormatting>
  <conditionalFormatting sqref="F859">
    <cfRule dxfId="0" priority="2" type="expression">
      <formula>MOD(ROW( C859:L1223),2)=0</formula>
    </cfRule>
  </conditionalFormatting>
  <conditionalFormatting sqref="F860">
    <cfRule dxfId="0" priority="1" type="expression">
      <formula>MOD(ROW( C860:L1224),2)=0</formula>
    </cfRule>
  </conditionalFormatting>
  <hyperlinks>
    <hyperlink xmlns:r="http://schemas.openxmlformats.org/officeDocument/2006/relationships" ref="T2" r:id="rId1"/>
  </hyperlinks>
  <pageMargins bottom="0.75" footer="0.3" header="0.3" left="0.7" right="0.7" top="0.75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Steffany Beltran Pineda</dc:creator>
  <dcterms:created xmlns:dcterms="http://purl.org/dc/terms/" xmlns:xsi="http://www.w3.org/2001/XMLSchema-instance" xsi:type="dcterms:W3CDTF">2014-11-30T12:29:58Z</dcterms:created>
  <dcterms:modified xmlns:dcterms="http://purl.org/dc/terms/" xmlns:xsi="http://www.w3.org/2001/XMLSchema-instance" xsi:type="dcterms:W3CDTF">2019-01-08T18:56:00Z</dcterms:modified>
  <cp:lastModifiedBy>Daniel</cp:lastModifiedBy>
</cp:coreProperties>
</file>